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jpotok34/Downloads/LBO Case Comp/"/>
    </mc:Choice>
  </mc:AlternateContent>
  <xr:revisionPtr revIDLastSave="0" documentId="13_ncr:1_{E44F7F09-62AC-AA4C-9D2D-A2DFA62F75FE}" xr6:coauthVersionLast="47" xr6:coauthVersionMax="47" xr10:uidLastSave="{00000000-0000-0000-0000-000000000000}"/>
  <bookViews>
    <workbookView xWindow="0" yWindow="600" windowWidth="28800" windowHeight="15820" xr2:uid="{00000000-000D-0000-FFFF-FFFF00000000}"/>
  </bookViews>
  <sheets>
    <sheet name="Read Me First" sheetId="1" r:id="rId1"/>
    <sheet name="LBO Model" sheetId="2" r:id="rId2"/>
    <sheet name="Revenue Build" sheetId="3" r:id="rId3"/>
    <sheet name="Value Creation &amp; AI" sheetId="4" r:id="rId4"/>
    <sheet name="5% Downside - LBO Model" sheetId="5" r:id="rId5"/>
    <sheet name="5% Downside - Revenue Build" sheetId="6" r:id="rId6"/>
    <sheet name="7% Stretch - LBO Model" sheetId="7" r:id="rId7"/>
    <sheet name="7% Stretch - Revenue Build" sheetId="8" r:id="rId8"/>
    <sheet name="Return Sensitivity" sheetId="9" r:id="rId9"/>
    <sheet name="Pitch Summary" sheetId="10" r:id="rId10"/>
  </sheets>
  <definedNames>
    <definedName name="Circ">'LBO Model'!$K$13</definedName>
    <definedName name="Floor">'LBO Model'!$G$10</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44767.6313310185</definedName>
    <definedName name="IQ_QTD" hidden="1">750000</definedName>
    <definedName name="IQ_TODAY" hidden="1">0</definedName>
    <definedName name="IQ_YTDMONTH" hidden="1">130000</definedName>
    <definedName name="OpPay">'LBO Model'!$G$11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K190" i="2" l="1"/>
  <c r="K170" i="2"/>
  <c r="K115" i="2"/>
  <c r="K3" i="2"/>
  <c r="K2" i="2"/>
  <c r="J190" i="2"/>
  <c r="J170" i="2"/>
  <c r="J115" i="2"/>
  <c r="J3" i="2"/>
  <c r="J2" i="2"/>
  <c r="I190" i="2"/>
  <c r="I170" i="2"/>
  <c r="I115" i="2"/>
  <c r="I3" i="2"/>
  <c r="I2" i="2"/>
  <c r="H190" i="2"/>
  <c r="H170" i="2"/>
  <c r="H115" i="2"/>
  <c r="H3" i="2"/>
  <c r="H2" i="2"/>
  <c r="G190" i="2"/>
  <c r="G170" i="2"/>
  <c r="G115" i="2"/>
  <c r="G3" i="2"/>
  <c r="G2" i="2"/>
  <c r="E9" i="8"/>
  <c r="D9" i="8"/>
  <c r="C9" i="8"/>
  <c r="B9" i="8"/>
  <c r="D6" i="8"/>
  <c r="C6" i="8"/>
  <c r="B6" i="8"/>
  <c r="D226" i="7"/>
  <c r="D225" i="7"/>
  <c r="D224" i="7"/>
  <c r="C224" i="7"/>
  <c r="D223" i="7"/>
  <c r="C223" i="7"/>
  <c r="D222" i="7"/>
  <c r="C222" i="7"/>
  <c r="D221" i="7"/>
  <c r="C221" i="7"/>
  <c r="D220" i="7"/>
  <c r="C220" i="7"/>
  <c r="E220" i="7" s="1"/>
  <c r="G220" i="7" s="1"/>
  <c r="G218" i="7"/>
  <c r="D215" i="7"/>
  <c r="C215" i="7"/>
  <c r="D214" i="7"/>
  <c r="D213" i="7"/>
  <c r="D212" i="7"/>
  <c r="D211" i="7"/>
  <c r="D210" i="7"/>
  <c r="D209" i="7"/>
  <c r="D208" i="7"/>
  <c r="D207" i="7"/>
  <c r="D205" i="7"/>
  <c r="D204" i="7"/>
  <c r="D202" i="7"/>
  <c r="D201" i="7"/>
  <c r="K192" i="7"/>
  <c r="J192" i="7"/>
  <c r="I192" i="7"/>
  <c r="H192" i="7"/>
  <c r="G192" i="7"/>
  <c r="F190" i="7"/>
  <c r="I187" i="7"/>
  <c r="K181" i="7"/>
  <c r="J181" i="7"/>
  <c r="I181" i="7"/>
  <c r="H181" i="7"/>
  <c r="G181" i="7"/>
  <c r="D176" i="7"/>
  <c r="C176" i="7"/>
  <c r="B176" i="7"/>
  <c r="D175" i="7"/>
  <c r="C175" i="7"/>
  <c r="B175" i="7"/>
  <c r="K174" i="7"/>
  <c r="J174" i="7"/>
  <c r="I174" i="7"/>
  <c r="H174" i="7"/>
  <c r="G174" i="7"/>
  <c r="D174" i="7"/>
  <c r="C174" i="7"/>
  <c r="K170" i="7"/>
  <c r="J170" i="7"/>
  <c r="I170" i="7"/>
  <c r="H170" i="7"/>
  <c r="G170" i="7"/>
  <c r="G158" i="7" s="1"/>
  <c r="B170" i="7"/>
  <c r="B169" i="7"/>
  <c r="D164" i="7"/>
  <c r="C164" i="7"/>
  <c r="B164" i="7"/>
  <c r="D163" i="7"/>
  <c r="C163" i="7"/>
  <c r="B163" i="7"/>
  <c r="D162" i="7"/>
  <c r="G162" i="7" s="1"/>
  <c r="C162" i="7"/>
  <c r="F159" i="7"/>
  <c r="F158" i="7"/>
  <c r="G176" i="7" s="1"/>
  <c r="B158" i="7"/>
  <c r="F157" i="7"/>
  <c r="B157" i="7"/>
  <c r="F156" i="7"/>
  <c r="K155" i="7"/>
  <c r="J155" i="7"/>
  <c r="I155" i="7"/>
  <c r="H155" i="7"/>
  <c r="G155" i="7"/>
  <c r="F151" i="7"/>
  <c r="E151" i="7"/>
  <c r="D151" i="7"/>
  <c r="C151" i="7"/>
  <c r="G150" i="7"/>
  <c r="E150" i="7"/>
  <c r="D147" i="7"/>
  <c r="C147" i="7"/>
  <c r="G146" i="7"/>
  <c r="F142" i="7"/>
  <c r="G140" i="7" s="1"/>
  <c r="K138" i="7"/>
  <c r="J138" i="7"/>
  <c r="I138" i="7"/>
  <c r="H138" i="7"/>
  <c r="G138" i="7"/>
  <c r="K123" i="7"/>
  <c r="J123" i="7"/>
  <c r="I123" i="7"/>
  <c r="H123" i="7"/>
  <c r="G123" i="7"/>
  <c r="C119" i="7"/>
  <c r="C118" i="7"/>
  <c r="F117" i="7"/>
  <c r="E117" i="7"/>
  <c r="D117" i="7"/>
  <c r="C117" i="7"/>
  <c r="F116" i="7"/>
  <c r="E116" i="7"/>
  <c r="D116" i="7"/>
  <c r="C116" i="7"/>
  <c r="C113" i="7"/>
  <c r="F112" i="7"/>
  <c r="E112" i="7"/>
  <c r="D112" i="7"/>
  <c r="C112" i="7"/>
  <c r="C110" i="7"/>
  <c r="C109" i="7"/>
  <c r="C106" i="7"/>
  <c r="C103" i="7"/>
  <c r="C102" i="7"/>
  <c r="C101" i="7"/>
  <c r="C100" i="7"/>
  <c r="C97" i="7"/>
  <c r="C96" i="7"/>
  <c r="E95" i="7"/>
  <c r="D93" i="7"/>
  <c r="C93" i="7"/>
  <c r="G92" i="7"/>
  <c r="G114" i="7" s="1"/>
  <c r="G125" i="7" s="1"/>
  <c r="E92" i="7"/>
  <c r="D92" i="7"/>
  <c r="D95" i="7" s="1"/>
  <c r="C92" i="7"/>
  <c r="F91" i="7"/>
  <c r="E91" i="7"/>
  <c r="D91" i="7"/>
  <c r="H90" i="7"/>
  <c r="G6" i="8" s="1"/>
  <c r="G90" i="7"/>
  <c r="F6" i="8" s="1"/>
  <c r="F90" i="7"/>
  <c r="E90" i="7"/>
  <c r="D90" i="7"/>
  <c r="H89" i="7"/>
  <c r="G89" i="7"/>
  <c r="F5" i="8" s="1"/>
  <c r="F89" i="7"/>
  <c r="E89" i="7"/>
  <c r="D89" i="7"/>
  <c r="C88" i="7"/>
  <c r="C83" i="7"/>
  <c r="B83" i="7"/>
  <c r="C82" i="7"/>
  <c r="B82" i="7"/>
  <c r="D81" i="7"/>
  <c r="C81" i="7"/>
  <c r="C77" i="7"/>
  <c r="B77" i="7"/>
  <c r="G76" i="7"/>
  <c r="D76" i="7"/>
  <c r="C76" i="7"/>
  <c r="B76" i="7"/>
  <c r="D75" i="7"/>
  <c r="C75" i="7"/>
  <c r="B75" i="7"/>
  <c r="K73" i="7"/>
  <c r="J73" i="7"/>
  <c r="I73" i="7"/>
  <c r="H73" i="7"/>
  <c r="G73" i="7"/>
  <c r="C66" i="7"/>
  <c r="K64" i="7"/>
  <c r="J64" i="7"/>
  <c r="I64" i="7"/>
  <c r="H64" i="7"/>
  <c r="G64" i="7"/>
  <c r="F64" i="7"/>
  <c r="E64" i="7"/>
  <c r="C64" i="7"/>
  <c r="C63" i="7"/>
  <c r="C62" i="7"/>
  <c r="K60" i="7"/>
  <c r="J60" i="7"/>
  <c r="J52" i="7" s="1"/>
  <c r="I60" i="7"/>
  <c r="I52" i="7" s="1"/>
  <c r="H60" i="7"/>
  <c r="G60" i="7"/>
  <c r="F60" i="7"/>
  <c r="E60" i="7"/>
  <c r="C60" i="7"/>
  <c r="C59" i="7"/>
  <c r="C58" i="7"/>
  <c r="K56" i="7"/>
  <c r="J56" i="7"/>
  <c r="I56" i="7"/>
  <c r="H56" i="7"/>
  <c r="G56" i="7"/>
  <c r="C56" i="7"/>
  <c r="K52" i="7"/>
  <c r="H52" i="7"/>
  <c r="G52" i="7"/>
  <c r="C52" i="7"/>
  <c r="C50" i="7"/>
  <c r="G48" i="7"/>
  <c r="D48" i="7"/>
  <c r="C48" i="7"/>
  <c r="D47" i="7"/>
  <c r="C47" i="7"/>
  <c r="D46" i="7"/>
  <c r="C46" i="7"/>
  <c r="E45" i="7"/>
  <c r="D45" i="7"/>
  <c r="C45" i="7"/>
  <c r="K44" i="7"/>
  <c r="J44" i="7"/>
  <c r="I44" i="7"/>
  <c r="H44" i="7"/>
  <c r="G44" i="7"/>
  <c r="C44" i="7"/>
  <c r="C35" i="7"/>
  <c r="D35" i="7" s="1"/>
  <c r="C34" i="7"/>
  <c r="D34" i="7" s="1"/>
  <c r="C28" i="7"/>
  <c r="D28" i="7" s="1"/>
  <c r="K27" i="7"/>
  <c r="D83" i="7" s="1"/>
  <c r="I27" i="7"/>
  <c r="I30" i="7" s="1"/>
  <c r="D27" i="7"/>
  <c r="K26" i="7"/>
  <c r="I26" i="7"/>
  <c r="D26" i="7"/>
  <c r="C26" i="7"/>
  <c r="K25" i="7"/>
  <c r="I25" i="7"/>
  <c r="D25" i="7"/>
  <c r="B25" i="7"/>
  <c r="C14" i="7"/>
  <c r="I13" i="7"/>
  <c r="C12" i="7"/>
  <c r="K8" i="7"/>
  <c r="I193" i="7" s="1"/>
  <c r="D3" i="7"/>
  <c r="D88" i="7" s="1"/>
  <c r="C3" i="7"/>
  <c r="E2" i="7"/>
  <c r="D2" i="7"/>
  <c r="C2" i="7"/>
  <c r="E9" i="6"/>
  <c r="D9" i="6"/>
  <c r="C9" i="6"/>
  <c r="B9" i="6"/>
  <c r="F6" i="6"/>
  <c r="D6" i="6"/>
  <c r="C6" i="6"/>
  <c r="B6" i="6"/>
  <c r="D226" i="5"/>
  <c r="D225" i="5"/>
  <c r="D224" i="5"/>
  <c r="C224" i="5"/>
  <c r="D223" i="5"/>
  <c r="C223" i="5"/>
  <c r="D222" i="5"/>
  <c r="C222" i="5"/>
  <c r="D221" i="5"/>
  <c r="C221" i="5"/>
  <c r="E220" i="5"/>
  <c r="G220" i="5" s="1"/>
  <c r="D220" i="5"/>
  <c r="C220" i="5"/>
  <c r="G218" i="5"/>
  <c r="D215" i="5"/>
  <c r="C215" i="5"/>
  <c r="D214" i="5"/>
  <c r="D213" i="5"/>
  <c r="D212" i="5"/>
  <c r="D211" i="5"/>
  <c r="D210" i="5"/>
  <c r="D209" i="5"/>
  <c r="D208" i="5"/>
  <c r="D207" i="5"/>
  <c r="D205" i="5"/>
  <c r="D204" i="5"/>
  <c r="D202" i="5"/>
  <c r="D201" i="5"/>
  <c r="K192" i="5"/>
  <c r="J192" i="5"/>
  <c r="I192" i="5"/>
  <c r="H192" i="5"/>
  <c r="G192" i="5"/>
  <c r="F190" i="5"/>
  <c r="K181" i="5"/>
  <c r="J181" i="5"/>
  <c r="I181" i="5"/>
  <c r="H181" i="5"/>
  <c r="G181" i="5"/>
  <c r="D176" i="5"/>
  <c r="C176" i="5"/>
  <c r="B176" i="5"/>
  <c r="D175" i="5"/>
  <c r="C175" i="5"/>
  <c r="B175" i="5"/>
  <c r="K174" i="5"/>
  <c r="J174" i="5"/>
  <c r="I174" i="5"/>
  <c r="H174" i="5"/>
  <c r="G174" i="5"/>
  <c r="D174" i="5"/>
  <c r="C174" i="5"/>
  <c r="K170" i="5"/>
  <c r="J170" i="5"/>
  <c r="I170" i="5"/>
  <c r="H170" i="5"/>
  <c r="G170" i="5"/>
  <c r="B170" i="5"/>
  <c r="B169" i="5"/>
  <c r="D164" i="5"/>
  <c r="C164" i="5"/>
  <c r="B164" i="5"/>
  <c r="D163" i="5"/>
  <c r="C163" i="5"/>
  <c r="B163" i="5"/>
  <c r="D162" i="5"/>
  <c r="C162" i="5"/>
  <c r="G162" i="5" s="1"/>
  <c r="G165" i="5" s="1"/>
  <c r="G133" i="5" s="1"/>
  <c r="F158" i="5"/>
  <c r="G176" i="5" s="1"/>
  <c r="B158" i="5"/>
  <c r="F157" i="5"/>
  <c r="B157" i="5"/>
  <c r="F156" i="5"/>
  <c r="K155" i="5"/>
  <c r="J155" i="5"/>
  <c r="I155" i="5"/>
  <c r="H155" i="5"/>
  <c r="G155" i="5"/>
  <c r="F151" i="5"/>
  <c r="E151" i="5"/>
  <c r="D151" i="5"/>
  <c r="C151" i="5"/>
  <c r="D147" i="5"/>
  <c r="C147" i="5"/>
  <c r="F142" i="5"/>
  <c r="G140" i="5" s="1"/>
  <c r="K138" i="5"/>
  <c r="J138" i="5"/>
  <c r="I138" i="5"/>
  <c r="H138" i="5"/>
  <c r="G138" i="5"/>
  <c r="K123" i="5"/>
  <c r="J123" i="5"/>
  <c r="I123" i="5"/>
  <c r="H123" i="5"/>
  <c r="G123" i="5"/>
  <c r="C119" i="5"/>
  <c r="C118" i="5"/>
  <c r="F117" i="5"/>
  <c r="E117" i="5"/>
  <c r="D117" i="5"/>
  <c r="C117" i="5"/>
  <c r="F116" i="5"/>
  <c r="E116" i="5"/>
  <c r="D116" i="5"/>
  <c r="C116" i="5"/>
  <c r="C113" i="5"/>
  <c r="F112" i="5"/>
  <c r="E112" i="5"/>
  <c r="D112" i="5"/>
  <c r="C112" i="5"/>
  <c r="C110" i="5"/>
  <c r="C109" i="5"/>
  <c r="C106" i="5"/>
  <c r="C103" i="5"/>
  <c r="C102" i="5"/>
  <c r="C101" i="5"/>
  <c r="C100" i="5"/>
  <c r="C97" i="5"/>
  <c r="C96" i="5"/>
  <c r="D93" i="5"/>
  <c r="C93" i="5"/>
  <c r="G92" i="5"/>
  <c r="G114" i="5" s="1"/>
  <c r="G125" i="5" s="1"/>
  <c r="F92" i="5"/>
  <c r="F99" i="5" s="1"/>
  <c r="E92" i="5"/>
  <c r="E150" i="5" s="1"/>
  <c r="D92" i="5"/>
  <c r="C92" i="5"/>
  <c r="F91" i="5"/>
  <c r="E91" i="5"/>
  <c r="D91" i="5"/>
  <c r="I90" i="5"/>
  <c r="H6" i="6" s="1"/>
  <c r="H90" i="5"/>
  <c r="G6" i="6" s="1"/>
  <c r="G90" i="5"/>
  <c r="F90" i="5"/>
  <c r="E90" i="5"/>
  <c r="D90" i="5"/>
  <c r="I89" i="5"/>
  <c r="H89" i="5"/>
  <c r="H92" i="5" s="1"/>
  <c r="G89" i="5"/>
  <c r="F5" i="6" s="1"/>
  <c r="F8" i="6" s="1"/>
  <c r="F9" i="6" s="1"/>
  <c r="F89" i="5"/>
  <c r="E89" i="5"/>
  <c r="D89" i="5"/>
  <c r="C88" i="5"/>
  <c r="C83" i="5"/>
  <c r="B83" i="5"/>
  <c r="C82" i="5"/>
  <c r="B82" i="5"/>
  <c r="G81" i="5"/>
  <c r="D81" i="5"/>
  <c r="C81" i="5"/>
  <c r="C77" i="5"/>
  <c r="B77" i="5"/>
  <c r="C76" i="5"/>
  <c r="B76" i="5"/>
  <c r="D75" i="5"/>
  <c r="C75" i="5"/>
  <c r="K73" i="5"/>
  <c r="J73" i="5"/>
  <c r="I73" i="5"/>
  <c r="H73" i="5"/>
  <c r="G73" i="5"/>
  <c r="C66" i="5"/>
  <c r="K64" i="5"/>
  <c r="J64" i="5"/>
  <c r="I64" i="5"/>
  <c r="H64" i="5"/>
  <c r="G64" i="5"/>
  <c r="F64" i="5"/>
  <c r="E64" i="5"/>
  <c r="C64" i="5"/>
  <c r="C63" i="5"/>
  <c r="C62" i="5"/>
  <c r="K60" i="5"/>
  <c r="J60" i="5"/>
  <c r="J52" i="5" s="1"/>
  <c r="I60" i="5"/>
  <c r="I52" i="5" s="1"/>
  <c r="H60" i="5"/>
  <c r="G60" i="5"/>
  <c r="G52" i="5" s="1"/>
  <c r="F60" i="5"/>
  <c r="E60" i="5"/>
  <c r="C60" i="5"/>
  <c r="C59" i="5"/>
  <c r="D58" i="5"/>
  <c r="D60" i="5" s="1"/>
  <c r="C58" i="5"/>
  <c r="K56" i="5"/>
  <c r="J56" i="5"/>
  <c r="I56" i="5"/>
  <c r="H56" i="5"/>
  <c r="G56" i="5"/>
  <c r="C56" i="5"/>
  <c r="K52" i="5"/>
  <c r="H52" i="5"/>
  <c r="C52" i="5"/>
  <c r="C50" i="5"/>
  <c r="G48" i="5"/>
  <c r="D48" i="5"/>
  <c r="C48" i="5"/>
  <c r="D47" i="5"/>
  <c r="C47" i="5"/>
  <c r="D46" i="5"/>
  <c r="C46" i="5"/>
  <c r="E45" i="5"/>
  <c r="D45" i="5"/>
  <c r="C45" i="5"/>
  <c r="K44" i="5"/>
  <c r="J44" i="5"/>
  <c r="I44" i="5"/>
  <c r="H44" i="5"/>
  <c r="G44" i="5"/>
  <c r="F44" i="5"/>
  <c r="C44" i="5"/>
  <c r="D35" i="5"/>
  <c r="C35" i="5"/>
  <c r="D34" i="5"/>
  <c r="C34" i="5"/>
  <c r="C28" i="5"/>
  <c r="D28" i="5" s="1"/>
  <c r="K27" i="5"/>
  <c r="D83" i="5" s="1"/>
  <c r="I27" i="5"/>
  <c r="D77" i="5" s="1"/>
  <c r="D27" i="5"/>
  <c r="K26" i="5"/>
  <c r="K30" i="5" s="1"/>
  <c r="I26" i="5"/>
  <c r="D76" i="5" s="1"/>
  <c r="D26" i="5"/>
  <c r="C26" i="5"/>
  <c r="G163" i="5" s="1"/>
  <c r="G105" i="5" s="1"/>
  <c r="K25" i="5"/>
  <c r="I25" i="5"/>
  <c r="D25" i="5"/>
  <c r="B25" i="5"/>
  <c r="C18" i="5"/>
  <c r="C14" i="5"/>
  <c r="C33" i="5" s="1"/>
  <c r="I13" i="5"/>
  <c r="C12" i="5"/>
  <c r="K8" i="5"/>
  <c r="G187" i="5" s="1"/>
  <c r="D3" i="5"/>
  <c r="D88" i="5" s="1"/>
  <c r="C3" i="5"/>
  <c r="F2" i="5"/>
  <c r="F56" i="5" s="1"/>
  <c r="E2" i="5"/>
  <c r="D2" i="5"/>
  <c r="C2" i="5"/>
  <c r="C206" i="5" s="1"/>
  <c r="E206" i="5" s="1"/>
  <c r="G206" i="5" s="1"/>
  <c r="C63" i="4"/>
  <c r="C62" i="4"/>
  <c r="D61" i="4"/>
  <c r="C61" i="4"/>
  <c r="D60" i="4"/>
  <c r="C60" i="4"/>
  <c r="D59" i="4"/>
  <c r="C59" i="4"/>
  <c r="C35" i="4"/>
  <c r="C34" i="4"/>
  <c r="C33" i="4"/>
  <c r="C32" i="4"/>
  <c r="D31" i="4"/>
  <c r="D32" i="4" s="1"/>
  <c r="D33" i="4" s="1"/>
  <c r="D34" i="4" s="1"/>
  <c r="D35" i="4" s="1"/>
  <c r="C31" i="4"/>
  <c r="E17" i="4"/>
  <c r="D17" i="4"/>
  <c r="C17" i="4"/>
  <c r="B17" i="4"/>
  <c r="G16" i="4"/>
  <c r="F16" i="4"/>
  <c r="G15" i="4"/>
  <c r="F15" i="4"/>
  <c r="G14" i="4"/>
  <c r="F14" i="4"/>
  <c r="G13" i="4"/>
  <c r="F13" i="4"/>
  <c r="C9" i="4"/>
  <c r="B9" i="4"/>
  <c r="E9" i="3"/>
  <c r="D9" i="3"/>
  <c r="C9" i="3"/>
  <c r="B9" i="3"/>
  <c r="D6" i="3"/>
  <c r="F90" i="2" s="1"/>
  <c r="C6" i="3"/>
  <c r="B6" i="3"/>
  <c r="D226" i="2"/>
  <c r="D225" i="2"/>
  <c r="G224" i="2"/>
  <c r="E224" i="2"/>
  <c r="D224" i="2"/>
  <c r="C224" i="2"/>
  <c r="D223" i="2"/>
  <c r="C223" i="2"/>
  <c r="E223" i="2" s="1"/>
  <c r="G223" i="2" s="1"/>
  <c r="G222" i="2"/>
  <c r="E222" i="2"/>
  <c r="D222" i="2"/>
  <c r="C222" i="2"/>
  <c r="D221" i="2"/>
  <c r="C221" i="2"/>
  <c r="E221" i="2" s="1"/>
  <c r="G221" i="2" s="1"/>
  <c r="G220" i="2"/>
  <c r="E220" i="2"/>
  <c r="D220" i="2"/>
  <c r="C220" i="2"/>
  <c r="G218" i="2"/>
  <c r="D215" i="2"/>
  <c r="C215" i="2"/>
  <c r="E215" i="2" s="1"/>
  <c r="G215" i="2" s="1"/>
  <c r="D214" i="2"/>
  <c r="D213" i="2"/>
  <c r="D212" i="2"/>
  <c r="D211" i="2"/>
  <c r="D210" i="2"/>
  <c r="D209" i="2"/>
  <c r="D208" i="2"/>
  <c r="D207" i="2"/>
  <c r="D205" i="2"/>
  <c r="D204" i="2"/>
  <c r="D202" i="2"/>
  <c r="D201" i="2"/>
  <c r="K192" i="2"/>
  <c r="J192" i="2"/>
  <c r="I192" i="2"/>
  <c r="H192" i="2"/>
  <c r="G192" i="2"/>
  <c r="F190" i="2"/>
  <c r="D176" i="2"/>
  <c r="C176" i="2"/>
  <c r="B176" i="2"/>
  <c r="D175" i="2"/>
  <c r="B175" i="2"/>
  <c r="K174" i="2"/>
  <c r="J174" i="2"/>
  <c r="I174" i="2"/>
  <c r="H174" i="2"/>
  <c r="G174" i="2"/>
  <c r="D174" i="2"/>
  <c r="C174" i="2"/>
  <c r="B170" i="2"/>
  <c r="B169" i="2"/>
  <c r="D164" i="2"/>
  <c r="C164" i="2"/>
  <c r="B164" i="2"/>
  <c r="D163" i="2"/>
  <c r="B163" i="2"/>
  <c r="D162" i="2"/>
  <c r="C162" i="2"/>
  <c r="F158" i="2"/>
  <c r="B158" i="2"/>
  <c r="F157" i="2"/>
  <c r="B157" i="2"/>
  <c r="F156" i="2"/>
  <c r="F151" i="2"/>
  <c r="E151" i="2"/>
  <c r="D151" i="2"/>
  <c r="C151" i="2"/>
  <c r="F147" i="2"/>
  <c r="E147" i="2"/>
  <c r="D147" i="2"/>
  <c r="C147" i="2"/>
  <c r="F142" i="2"/>
  <c r="G140" i="2"/>
  <c r="C119" i="2"/>
  <c r="C118" i="2"/>
  <c r="F117" i="2"/>
  <c r="E117" i="2"/>
  <c r="D117" i="2"/>
  <c r="C117" i="2"/>
  <c r="F116" i="2"/>
  <c r="E116" i="2"/>
  <c r="D116" i="2"/>
  <c r="C116" i="2"/>
  <c r="C113" i="2"/>
  <c r="F112" i="2"/>
  <c r="E112" i="2"/>
  <c r="D112" i="2"/>
  <c r="C112" i="2"/>
  <c r="C110" i="2"/>
  <c r="C109" i="2"/>
  <c r="C106" i="2"/>
  <c r="C103" i="2"/>
  <c r="C102" i="2"/>
  <c r="C101" i="2"/>
  <c r="C100" i="2"/>
  <c r="C97" i="2"/>
  <c r="C96" i="2"/>
  <c r="D93" i="2"/>
  <c r="C93" i="2"/>
  <c r="C92" i="2"/>
  <c r="K91" i="2"/>
  <c r="J91" i="2"/>
  <c r="I91" i="2"/>
  <c r="H91" i="2"/>
  <c r="G91" i="2"/>
  <c r="F91" i="2"/>
  <c r="F47" i="2" s="1"/>
  <c r="E91" i="2"/>
  <c r="E47" i="2" s="1"/>
  <c r="D91" i="2"/>
  <c r="G90" i="2"/>
  <c r="F6" i="3" s="1"/>
  <c r="H90" i="2" s="1"/>
  <c r="G6" i="3" s="1"/>
  <c r="I90" i="2" s="1"/>
  <c r="H6" i="3" s="1"/>
  <c r="J90" i="2" s="1"/>
  <c r="I6" i="3" s="1"/>
  <c r="K90" i="2" s="1"/>
  <c r="J6" i="3" s="1"/>
  <c r="E90" i="2"/>
  <c r="E46" i="2" s="1"/>
  <c r="D90" i="2"/>
  <c r="G89" i="2"/>
  <c r="F89" i="2"/>
  <c r="E89" i="2"/>
  <c r="D89" i="2"/>
  <c r="D92" i="2" s="1"/>
  <c r="C88" i="2"/>
  <c r="C83" i="2"/>
  <c r="B83" i="2"/>
  <c r="C82" i="2"/>
  <c r="B82" i="2"/>
  <c r="C81" i="2"/>
  <c r="C77" i="2"/>
  <c r="B77" i="2"/>
  <c r="C76" i="2"/>
  <c r="B76" i="2"/>
  <c r="G75" i="2"/>
  <c r="C75" i="2"/>
  <c r="C66" i="2"/>
  <c r="K64" i="2"/>
  <c r="J64" i="2"/>
  <c r="I64" i="2"/>
  <c r="H64" i="2"/>
  <c r="G64" i="2"/>
  <c r="C64" i="2"/>
  <c r="C63" i="2"/>
  <c r="C62" i="2"/>
  <c r="K60" i="2"/>
  <c r="K52" i="2" s="1"/>
  <c r="J60" i="2"/>
  <c r="I60" i="2"/>
  <c r="H60" i="2"/>
  <c r="G60" i="2"/>
  <c r="G52" i="2" s="1"/>
  <c r="C60" i="2"/>
  <c r="C59" i="2"/>
  <c r="C58" i="2"/>
  <c r="C56" i="2"/>
  <c r="J52" i="2"/>
  <c r="I52" i="2"/>
  <c r="H52" i="2"/>
  <c r="C52" i="2"/>
  <c r="C50" i="2"/>
  <c r="D48" i="2"/>
  <c r="C48" i="2"/>
  <c r="D47" i="2"/>
  <c r="C47" i="2"/>
  <c r="D46" i="2"/>
  <c r="C46" i="2"/>
  <c r="F45" i="2"/>
  <c r="E45" i="2"/>
  <c r="D45" i="2"/>
  <c r="C45" i="2"/>
  <c r="C44" i="2"/>
  <c r="D35" i="2"/>
  <c r="C35" i="2"/>
  <c r="C34" i="2"/>
  <c r="D34" i="2" s="1"/>
  <c r="C28" i="2"/>
  <c r="D28" i="2" s="1"/>
  <c r="K27" i="2"/>
  <c r="D83" i="2" s="1"/>
  <c r="I27" i="2"/>
  <c r="D77" i="2" s="1"/>
  <c r="D27" i="2"/>
  <c r="C26" i="2"/>
  <c r="C163" i="2" s="1"/>
  <c r="K25" i="2"/>
  <c r="D81" i="2" s="1"/>
  <c r="I25" i="2"/>
  <c r="D75" i="2" s="1"/>
  <c r="D25" i="2"/>
  <c r="B25" i="2"/>
  <c r="B168" i="2" s="1"/>
  <c r="I13" i="2"/>
  <c r="C12" i="2"/>
  <c r="C14" i="2" s="1"/>
  <c r="C3" i="2"/>
  <c r="D2" i="2"/>
  <c r="C2" i="2"/>
  <c r="I30" i="5" l="1"/>
  <c r="C37" i="5" s="1"/>
  <c r="D37" i="5" s="1"/>
  <c r="D77" i="7"/>
  <c r="D78" i="7" s="1"/>
  <c r="G176" i="2"/>
  <c r="G177" i="2" s="1"/>
  <c r="G163" i="2"/>
  <c r="F46" i="2"/>
  <c r="F92" i="2"/>
  <c r="C33" i="2"/>
  <c r="C18" i="2"/>
  <c r="D150" i="2"/>
  <c r="D62" i="2"/>
  <c r="D58" i="2"/>
  <c r="D59" i="2"/>
  <c r="D95" i="2"/>
  <c r="D96" i="2"/>
  <c r="D63" i="2"/>
  <c r="D99" i="2"/>
  <c r="G83" i="2"/>
  <c r="H83" i="2" s="1"/>
  <c r="I83" i="2" s="1"/>
  <c r="J83" i="2" s="1"/>
  <c r="G81" i="2"/>
  <c r="G175" i="2"/>
  <c r="G162" i="2"/>
  <c r="H75" i="2"/>
  <c r="G105" i="2"/>
  <c r="D64" i="2"/>
  <c r="B174" i="2"/>
  <c r="I75" i="2"/>
  <c r="E92" i="2"/>
  <c r="C175" i="2"/>
  <c r="D62" i="4"/>
  <c r="J75" i="2"/>
  <c r="D3" i="2"/>
  <c r="D44" i="2" s="1"/>
  <c r="B156" i="2"/>
  <c r="F17" i="4"/>
  <c r="E2" i="2"/>
  <c r="K26" i="2"/>
  <c r="F159" i="2"/>
  <c r="D26" i="2"/>
  <c r="B75" i="2"/>
  <c r="G77" i="2"/>
  <c r="I26" i="2"/>
  <c r="B81" i="2"/>
  <c r="F5" i="3"/>
  <c r="G92" i="2"/>
  <c r="B162" i="2"/>
  <c r="G77" i="5"/>
  <c r="H77" i="5" s="1"/>
  <c r="G83" i="5"/>
  <c r="D56" i="5"/>
  <c r="G112" i="5"/>
  <c r="D44" i="5"/>
  <c r="D33" i="5"/>
  <c r="D38" i="5" s="1"/>
  <c r="C38" i="5"/>
  <c r="G76" i="5"/>
  <c r="E56" i="5"/>
  <c r="E44" i="5"/>
  <c r="C36" i="5"/>
  <c r="D36" i="5" s="1"/>
  <c r="C20" i="5"/>
  <c r="K9" i="5" s="1"/>
  <c r="G164" i="2"/>
  <c r="G158" i="2" s="1"/>
  <c r="G17" i="4"/>
  <c r="B168" i="5"/>
  <c r="B81" i="5"/>
  <c r="B162" i="5"/>
  <c r="B174" i="5"/>
  <c r="B156" i="5"/>
  <c r="B75" i="5"/>
  <c r="F95" i="5"/>
  <c r="F96" i="5" s="1"/>
  <c r="F150" i="5"/>
  <c r="G175" i="5"/>
  <c r="G177" i="5" s="1"/>
  <c r="G5" i="8"/>
  <c r="G8" i="8" s="1"/>
  <c r="H92" i="7"/>
  <c r="I89" i="7"/>
  <c r="G95" i="5"/>
  <c r="G150" i="5"/>
  <c r="G151" i="5" s="1"/>
  <c r="G129" i="5" s="1"/>
  <c r="F159" i="5"/>
  <c r="I193" i="5"/>
  <c r="D44" i="7"/>
  <c r="G77" i="7"/>
  <c r="D82" i="5"/>
  <c r="H145" i="5"/>
  <c r="H95" i="5"/>
  <c r="H96" i="5" s="1"/>
  <c r="H94" i="5"/>
  <c r="H48" i="5"/>
  <c r="D150" i="5"/>
  <c r="D62" i="5"/>
  <c r="D64" i="5" s="1"/>
  <c r="E93" i="5"/>
  <c r="D99" i="5"/>
  <c r="H150" i="5"/>
  <c r="D78" i="5"/>
  <c r="I92" i="5"/>
  <c r="H5" i="6"/>
  <c r="H8" i="6" s="1"/>
  <c r="H9" i="6" s="1"/>
  <c r="G94" i="5"/>
  <c r="E99" i="5"/>
  <c r="G81" i="7"/>
  <c r="G165" i="7"/>
  <c r="G133" i="7" s="1"/>
  <c r="G75" i="5"/>
  <c r="H81" i="5"/>
  <c r="J89" i="5"/>
  <c r="J90" i="5"/>
  <c r="H99" i="5"/>
  <c r="H114" i="5"/>
  <c r="H125" i="5" s="1"/>
  <c r="G99" i="5"/>
  <c r="G145" i="5"/>
  <c r="G96" i="5"/>
  <c r="K30" i="7"/>
  <c r="C37" i="7" s="1"/>
  <c r="D37" i="7" s="1"/>
  <c r="D82" i="7"/>
  <c r="J193" i="5"/>
  <c r="J194" i="5" s="1"/>
  <c r="H193" i="5"/>
  <c r="H194" i="5" s="1"/>
  <c r="G193" i="5"/>
  <c r="G194" i="5" s="1"/>
  <c r="H187" i="5"/>
  <c r="D95" i="5"/>
  <c r="D96" i="5" s="1"/>
  <c r="G115" i="5"/>
  <c r="G126" i="5" s="1"/>
  <c r="G146" i="5"/>
  <c r="G158" i="5"/>
  <c r="I187" i="5"/>
  <c r="I194" i="5"/>
  <c r="F2" i="7"/>
  <c r="E56" i="7"/>
  <c r="E44" i="7"/>
  <c r="E95" i="5"/>
  <c r="E96" i="5" s="1"/>
  <c r="H115" i="5"/>
  <c r="H126" i="5" s="1"/>
  <c r="H146" i="5"/>
  <c r="J187" i="5"/>
  <c r="G5" i="6"/>
  <c r="G8" i="6" s="1"/>
  <c r="G9" i="6" s="1"/>
  <c r="C206" i="7"/>
  <c r="E206" i="7" s="1"/>
  <c r="G206" i="7" s="1"/>
  <c r="D56" i="7"/>
  <c r="H76" i="7"/>
  <c r="I76" i="7" s="1"/>
  <c r="J76" i="7" s="1"/>
  <c r="I194" i="7"/>
  <c r="G83" i="7"/>
  <c r="D99" i="7"/>
  <c r="D150" i="7"/>
  <c r="D62" i="7"/>
  <c r="D64" i="7" s="1"/>
  <c r="C18" i="7"/>
  <c r="C33" i="7"/>
  <c r="E96" i="7"/>
  <c r="E93" i="7"/>
  <c r="E99" i="7"/>
  <c r="H75" i="7"/>
  <c r="F92" i="7"/>
  <c r="J187" i="7"/>
  <c r="B162" i="7"/>
  <c r="B168" i="7"/>
  <c r="B81" i="7"/>
  <c r="B174" i="7"/>
  <c r="B156" i="7"/>
  <c r="G75" i="7"/>
  <c r="F8" i="8"/>
  <c r="F9" i="8" s="1"/>
  <c r="I90" i="7"/>
  <c r="D96" i="7"/>
  <c r="J193" i="7"/>
  <c r="J194" i="7" s="1"/>
  <c r="H193" i="7"/>
  <c r="H194" i="7" s="1"/>
  <c r="G193" i="7"/>
  <c r="H187" i="7"/>
  <c r="G187" i="7"/>
  <c r="D58" i="7"/>
  <c r="D60" i="7" s="1"/>
  <c r="G175" i="7"/>
  <c r="G177" i="7" s="1"/>
  <c r="H176" i="7"/>
  <c r="H158" i="7"/>
  <c r="G94" i="7"/>
  <c r="G95" i="7"/>
  <c r="G96" i="7"/>
  <c r="G145" i="7"/>
  <c r="G147" i="7" s="1"/>
  <c r="G130" i="7" s="1"/>
  <c r="G99" i="7"/>
  <c r="G163" i="7"/>
  <c r="G105" i="7" s="1"/>
  <c r="G115" i="7"/>
  <c r="G126" i="7" s="1"/>
  <c r="G165" i="2" l="1"/>
  <c r="G133" i="2" s="1"/>
  <c r="H83" i="5"/>
  <c r="I83" i="5"/>
  <c r="F97" i="5"/>
  <c r="F102" i="5"/>
  <c r="H97" i="5"/>
  <c r="E97" i="5"/>
  <c r="E102" i="5"/>
  <c r="K83" i="2"/>
  <c r="D97" i="7"/>
  <c r="D102" i="7"/>
  <c r="J90" i="7"/>
  <c r="H6" i="8"/>
  <c r="D33" i="7"/>
  <c r="J92" i="5"/>
  <c r="K89" i="5"/>
  <c r="I5" i="6"/>
  <c r="G97" i="7"/>
  <c r="H146" i="7"/>
  <c r="H145" i="7"/>
  <c r="H95" i="7"/>
  <c r="H96" i="7" s="1"/>
  <c r="H94" i="7"/>
  <c r="H48" i="7"/>
  <c r="H114" i="7"/>
  <c r="H125" i="7" s="1"/>
  <c r="H150" i="7"/>
  <c r="H151" i="7" s="1"/>
  <c r="H129" i="7" s="1"/>
  <c r="H115" i="7"/>
  <c r="H126" i="7" s="1"/>
  <c r="H99" i="7"/>
  <c r="G78" i="7"/>
  <c r="G100" i="7" s="1"/>
  <c r="G116" i="7" s="1"/>
  <c r="I75" i="7"/>
  <c r="C36" i="7"/>
  <c r="D36" i="7" s="1"/>
  <c r="C20" i="7"/>
  <c r="K9" i="7" s="1"/>
  <c r="K76" i="7"/>
  <c r="F44" i="7"/>
  <c r="F56" i="7"/>
  <c r="D97" i="5"/>
  <c r="D102" i="5"/>
  <c r="H151" i="5"/>
  <c r="H129" i="5" s="1"/>
  <c r="H77" i="7"/>
  <c r="H78" i="7" s="1"/>
  <c r="H100" i="7" s="1"/>
  <c r="H116" i="7" s="1"/>
  <c r="G9" i="8"/>
  <c r="H76" i="5"/>
  <c r="I76" i="5" s="1"/>
  <c r="D88" i="2"/>
  <c r="F2" i="2"/>
  <c r="E3" i="2"/>
  <c r="E44" i="2" s="1"/>
  <c r="E58" i="2"/>
  <c r="E60" i="2" s="1"/>
  <c r="E48" i="2"/>
  <c r="E59" i="2"/>
  <c r="E150" i="2"/>
  <c r="E63" i="2"/>
  <c r="E99" i="2"/>
  <c r="E62" i="2"/>
  <c r="E95" i="2"/>
  <c r="E96" i="2" s="1"/>
  <c r="E93" i="2"/>
  <c r="E64" i="2"/>
  <c r="K75" i="2"/>
  <c r="H81" i="7"/>
  <c r="I95" i="5"/>
  <c r="I96" i="5" s="1"/>
  <c r="I94" i="5"/>
  <c r="I48" i="5"/>
  <c r="I114" i="5"/>
  <c r="I125" i="5" s="1"/>
  <c r="I99" i="5"/>
  <c r="I150" i="5"/>
  <c r="I151" i="5" s="1"/>
  <c r="I129" i="5" s="1"/>
  <c r="I145" i="5"/>
  <c r="I146" i="5"/>
  <c r="I115" i="5"/>
  <c r="I126" i="5" s="1"/>
  <c r="H147" i="5"/>
  <c r="H130" i="5" s="1"/>
  <c r="G183" i="5"/>
  <c r="K183" i="5"/>
  <c r="J183" i="5"/>
  <c r="I183" i="5"/>
  <c r="H183" i="5"/>
  <c r="G112" i="2"/>
  <c r="G82" i="5"/>
  <c r="G84" i="5" s="1"/>
  <c r="G101" i="5" s="1"/>
  <c r="G117" i="5" s="1"/>
  <c r="G93" i="2"/>
  <c r="G145" i="2"/>
  <c r="G99" i="2"/>
  <c r="G96" i="2"/>
  <c r="B59" i="4"/>
  <c r="B31" i="4"/>
  <c r="G94" i="2"/>
  <c r="G95" i="2"/>
  <c r="G48" i="2"/>
  <c r="G150" i="2"/>
  <c r="G151" i="2" s="1"/>
  <c r="G129" i="2" s="1"/>
  <c r="G114" i="2"/>
  <c r="G125" i="2" s="1"/>
  <c r="D63" i="4"/>
  <c r="H81" i="2"/>
  <c r="D102" i="2"/>
  <c r="D97" i="2"/>
  <c r="G82" i="7"/>
  <c r="I82" i="7" s="1"/>
  <c r="H82" i="7"/>
  <c r="G194" i="7"/>
  <c r="G112" i="7"/>
  <c r="I158" i="7"/>
  <c r="I176" i="7"/>
  <c r="F95" i="7"/>
  <c r="F96" i="7" s="1"/>
  <c r="F150" i="7"/>
  <c r="G151" i="7" s="1"/>
  <c r="G129" i="7" s="1"/>
  <c r="F99" i="7"/>
  <c r="H176" i="5"/>
  <c r="H158" i="5"/>
  <c r="I6" i="6"/>
  <c r="K90" i="5"/>
  <c r="J6" i="6" s="1"/>
  <c r="D84" i="7"/>
  <c r="D84" i="5"/>
  <c r="F8" i="3"/>
  <c r="F9" i="3" s="1"/>
  <c r="H89" i="2"/>
  <c r="C20" i="2"/>
  <c r="K9" i="2" s="1"/>
  <c r="C36" i="2"/>
  <c r="D36" i="2" s="1"/>
  <c r="G84" i="7"/>
  <c r="G101" i="7" s="1"/>
  <c r="G117" i="7" s="1"/>
  <c r="C29" i="5"/>
  <c r="D33" i="2"/>
  <c r="G147" i="5"/>
  <c r="G130" i="5" s="1"/>
  <c r="I81" i="5"/>
  <c r="I77" i="7"/>
  <c r="J77" i="7" s="1"/>
  <c r="K77" i="7" s="1"/>
  <c r="I77" i="5"/>
  <c r="J77" i="5" s="1"/>
  <c r="D76" i="2"/>
  <c r="I30" i="2"/>
  <c r="D82" i="2"/>
  <c r="K30" i="2"/>
  <c r="D60" i="2"/>
  <c r="F48" i="2"/>
  <c r="F93" i="2"/>
  <c r="F99" i="2"/>
  <c r="F150" i="2"/>
  <c r="F63" i="2"/>
  <c r="F58" i="2"/>
  <c r="F60" i="2" s="1"/>
  <c r="F96" i="2"/>
  <c r="F62" i="2"/>
  <c r="F95" i="2"/>
  <c r="F64" i="2"/>
  <c r="F59" i="2"/>
  <c r="H77" i="2"/>
  <c r="I77" i="2" s="1"/>
  <c r="E97" i="7"/>
  <c r="E102" i="7"/>
  <c r="G97" i="5"/>
  <c r="H83" i="7"/>
  <c r="I83" i="7" s="1"/>
  <c r="H75" i="5"/>
  <c r="I75" i="5" s="1"/>
  <c r="I78" i="5" s="1"/>
  <c r="I100" i="5" s="1"/>
  <c r="I116" i="5" s="1"/>
  <c r="G78" i="5"/>
  <c r="G100" i="5" s="1"/>
  <c r="G116" i="5" s="1"/>
  <c r="J89" i="7"/>
  <c r="H5" i="8"/>
  <c r="H8" i="8" s="1"/>
  <c r="H9" i="8" s="1"/>
  <c r="I92" i="7"/>
  <c r="D56" i="2"/>
  <c r="J83" i="5" l="1"/>
  <c r="K83" i="5" s="1"/>
  <c r="F97" i="7"/>
  <c r="F102" i="7"/>
  <c r="I97" i="5"/>
  <c r="H97" i="7"/>
  <c r="E102" i="2"/>
  <c r="E97" i="2"/>
  <c r="I8" i="6"/>
  <c r="I9" i="6" s="1"/>
  <c r="K81" i="5"/>
  <c r="H84" i="7"/>
  <c r="H101" i="7" s="1"/>
  <c r="H117" i="7" s="1"/>
  <c r="F56" i="2"/>
  <c r="F3" i="2"/>
  <c r="F88" i="2"/>
  <c r="F44" i="2"/>
  <c r="I78" i="7"/>
  <c r="I100" i="7" s="1"/>
  <c r="I116" i="7" s="1"/>
  <c r="J75" i="7"/>
  <c r="J78" i="7" s="1"/>
  <c r="J100" i="7" s="1"/>
  <c r="J116" i="7" s="1"/>
  <c r="J5" i="6"/>
  <c r="J8" i="6" s="1"/>
  <c r="J9" i="6" s="1"/>
  <c r="K92" i="5"/>
  <c r="H82" i="2"/>
  <c r="H84" i="2" s="1"/>
  <c r="H101" i="2" s="1"/>
  <c r="H117" i="2" s="1"/>
  <c r="H128" i="2" s="1"/>
  <c r="G82" i="2"/>
  <c r="G84" i="2" s="1"/>
  <c r="G101" i="2" s="1"/>
  <c r="G117" i="2" s="1"/>
  <c r="G128" i="2" s="1"/>
  <c r="D84" i="2"/>
  <c r="I147" i="5"/>
  <c r="I130" i="5" s="1"/>
  <c r="E88" i="2"/>
  <c r="D106" i="5"/>
  <c r="D103" i="5"/>
  <c r="J114" i="5"/>
  <c r="J125" i="5" s="1"/>
  <c r="J146" i="5"/>
  <c r="J99" i="5"/>
  <c r="J150" i="5"/>
  <c r="J151" i="5" s="1"/>
  <c r="J129" i="5" s="1"/>
  <c r="J145" i="5"/>
  <c r="J94" i="5"/>
  <c r="J95" i="5"/>
  <c r="J115" i="5"/>
  <c r="J126" i="5" s="1"/>
  <c r="J96" i="5"/>
  <c r="J48" i="5"/>
  <c r="J81" i="5"/>
  <c r="J83" i="7"/>
  <c r="K83" i="7" s="1"/>
  <c r="F97" i="2"/>
  <c r="F102" i="2"/>
  <c r="H82" i="5"/>
  <c r="H84" i="5" s="1"/>
  <c r="H101" i="5" s="1"/>
  <c r="H117" i="5" s="1"/>
  <c r="C21" i="10"/>
  <c r="K183" i="2"/>
  <c r="G183" i="2"/>
  <c r="J183" i="2"/>
  <c r="I183" i="2"/>
  <c r="H183" i="2"/>
  <c r="J158" i="7"/>
  <c r="J176" i="7"/>
  <c r="I82" i="5"/>
  <c r="H78" i="5"/>
  <c r="H100" i="5" s="1"/>
  <c r="J75" i="5"/>
  <c r="C37" i="2"/>
  <c r="D37" i="2" s="1"/>
  <c r="D38" i="2" s="1"/>
  <c r="I158" i="5"/>
  <c r="I176" i="5"/>
  <c r="J82" i="7"/>
  <c r="K82" i="7" s="1"/>
  <c r="G97" i="2"/>
  <c r="E56" i="2"/>
  <c r="H147" i="7"/>
  <c r="H130" i="7" s="1"/>
  <c r="J81" i="2"/>
  <c r="I6" i="8"/>
  <c r="K90" i="7"/>
  <c r="J6" i="8" s="1"/>
  <c r="J77" i="2"/>
  <c r="K77" i="2" s="1"/>
  <c r="E106" i="7"/>
  <c r="E103" i="7"/>
  <c r="I81" i="2"/>
  <c r="G76" i="2"/>
  <c r="G78" i="2" s="1"/>
  <c r="G100" i="2" s="1"/>
  <c r="G116" i="2" s="1"/>
  <c r="G127" i="2" s="1"/>
  <c r="H76" i="2"/>
  <c r="H78" i="2" s="1"/>
  <c r="H100" i="2" s="1"/>
  <c r="H116" i="2" s="1"/>
  <c r="H127" i="2" s="1"/>
  <c r="D78" i="2"/>
  <c r="K77" i="5"/>
  <c r="D103" i="7"/>
  <c r="D106" i="7"/>
  <c r="I5" i="8"/>
  <c r="K89" i="7"/>
  <c r="J92" i="7"/>
  <c r="F191" i="5"/>
  <c r="F194" i="5" s="1"/>
  <c r="D29" i="5"/>
  <c r="D30" i="5" s="1"/>
  <c r="C30" i="5"/>
  <c r="G146" i="2"/>
  <c r="G147" i="2" s="1"/>
  <c r="G130" i="2" s="1"/>
  <c r="G126" i="2"/>
  <c r="C38" i="7"/>
  <c r="E106" i="5"/>
  <c r="E103" i="5"/>
  <c r="F106" i="5"/>
  <c r="F103" i="5"/>
  <c r="H92" i="2"/>
  <c r="G5" i="3"/>
  <c r="I150" i="7"/>
  <c r="I151" i="7" s="1"/>
  <c r="I129" i="7" s="1"/>
  <c r="I99" i="7"/>
  <c r="I95" i="7"/>
  <c r="I96" i="7" s="1"/>
  <c r="I94" i="7"/>
  <c r="I48" i="7"/>
  <c r="I114" i="7"/>
  <c r="I125" i="7" s="1"/>
  <c r="I146" i="7"/>
  <c r="I115" i="7"/>
  <c r="I126" i="7" s="1"/>
  <c r="I145" i="7"/>
  <c r="G102" i="5"/>
  <c r="D106" i="2"/>
  <c r="D103" i="2"/>
  <c r="J76" i="5"/>
  <c r="K76" i="5" s="1"/>
  <c r="G183" i="7"/>
  <c r="K183" i="7"/>
  <c r="J183" i="7"/>
  <c r="I183" i="7"/>
  <c r="H183" i="7"/>
  <c r="G102" i="7"/>
  <c r="D38" i="7"/>
  <c r="I81" i="7"/>
  <c r="I84" i="7" s="1"/>
  <c r="I101" i="7" s="1"/>
  <c r="I117" i="7" s="1"/>
  <c r="C38" i="2" l="1"/>
  <c r="G102" i="2"/>
  <c r="I97" i="7"/>
  <c r="I102" i="7"/>
  <c r="H116" i="5"/>
  <c r="H102" i="5"/>
  <c r="D109" i="7"/>
  <c r="D108" i="7"/>
  <c r="D113" i="7" s="1"/>
  <c r="J97" i="5"/>
  <c r="K82" i="2"/>
  <c r="H102" i="7"/>
  <c r="G103" i="2"/>
  <c r="G106" i="2"/>
  <c r="G103" i="7"/>
  <c r="G106" i="7"/>
  <c r="I82" i="2"/>
  <c r="J82" i="2" s="1"/>
  <c r="D108" i="5"/>
  <c r="D113" i="5" s="1"/>
  <c r="D109" i="5"/>
  <c r="K81" i="7"/>
  <c r="K84" i="7" s="1"/>
  <c r="K101" i="7" s="1"/>
  <c r="K117" i="7" s="1"/>
  <c r="I84" i="5"/>
  <c r="I101" i="5" s="1"/>
  <c r="E108" i="7"/>
  <c r="E113" i="7" s="1"/>
  <c r="E109" i="7"/>
  <c r="D108" i="2"/>
  <c r="D113" i="2" s="1"/>
  <c r="D109" i="2"/>
  <c r="J81" i="7"/>
  <c r="J84" i="7" s="1"/>
  <c r="J101" i="7" s="1"/>
  <c r="J117" i="7" s="1"/>
  <c r="J84" i="2"/>
  <c r="J101" i="2" s="1"/>
  <c r="J117" i="2" s="1"/>
  <c r="J128" i="2" s="1"/>
  <c r="K176" i="7"/>
  <c r="K158" i="7"/>
  <c r="F108" i="5"/>
  <c r="F113" i="5" s="1"/>
  <c r="F109" i="5"/>
  <c r="G106" i="5"/>
  <c r="G103" i="5"/>
  <c r="J5" i="8"/>
  <c r="J8" i="8" s="1"/>
  <c r="K92" i="7"/>
  <c r="K75" i="7"/>
  <c r="K78" i="7" s="1"/>
  <c r="K100" i="7" s="1"/>
  <c r="K116" i="7" s="1"/>
  <c r="J147" i="5"/>
  <c r="J130" i="5" s="1"/>
  <c r="K81" i="2"/>
  <c r="K84" i="2" s="1"/>
  <c r="K101" i="2" s="1"/>
  <c r="K117" i="2" s="1"/>
  <c r="K128" i="2" s="1"/>
  <c r="H150" i="2"/>
  <c r="H151" i="2" s="1"/>
  <c r="H129" i="2" s="1"/>
  <c r="H145" i="2"/>
  <c r="H99" i="2"/>
  <c r="H96" i="2"/>
  <c r="H95" i="2"/>
  <c r="H94" i="2"/>
  <c r="B32" i="4"/>
  <c r="B60" i="4"/>
  <c r="H48" i="2"/>
  <c r="H93" i="2"/>
  <c r="H114" i="2"/>
  <c r="H125" i="2" s="1"/>
  <c r="C201" i="5"/>
  <c r="E201" i="5" s="1"/>
  <c r="G201" i="5" s="1"/>
  <c r="E38" i="5"/>
  <c r="C29" i="2"/>
  <c r="I76" i="2"/>
  <c r="I78" i="2" s="1"/>
  <c r="I100" i="2" s="1"/>
  <c r="I116" i="2" s="1"/>
  <c r="I127" i="2" s="1"/>
  <c r="J115" i="7"/>
  <c r="J126" i="7" s="1"/>
  <c r="J145" i="7"/>
  <c r="J147" i="7" s="1"/>
  <c r="J130" i="7" s="1"/>
  <c r="J96" i="7"/>
  <c r="J114" i="7"/>
  <c r="J125" i="7" s="1"/>
  <c r="J146" i="7"/>
  <c r="J150" i="7"/>
  <c r="J151" i="7" s="1"/>
  <c r="J129" i="7" s="1"/>
  <c r="J94" i="7"/>
  <c r="J48" i="7"/>
  <c r="J99" i="7"/>
  <c r="J95" i="7"/>
  <c r="E108" i="5"/>
  <c r="E113" i="5" s="1"/>
  <c r="J158" i="5"/>
  <c r="J176" i="5"/>
  <c r="F106" i="2"/>
  <c r="F103" i="2"/>
  <c r="C29" i="7"/>
  <c r="I8" i="8"/>
  <c r="I9" i="8" s="1"/>
  <c r="I147" i="7"/>
  <c r="I130" i="7" s="1"/>
  <c r="I84" i="2"/>
  <c r="I101" i="2" s="1"/>
  <c r="I117" i="2" s="1"/>
  <c r="I128" i="2" s="1"/>
  <c r="J78" i="5"/>
  <c r="J100" i="5" s="1"/>
  <c r="J116" i="5" s="1"/>
  <c r="G123" i="2"/>
  <c r="G138" i="2"/>
  <c r="E106" i="2"/>
  <c r="E103" i="2"/>
  <c r="F103" i="7"/>
  <c r="F106" i="7"/>
  <c r="I89" i="2"/>
  <c r="G8" i="3"/>
  <c r="G9" i="3" s="1"/>
  <c r="J82" i="5"/>
  <c r="J84" i="5" s="1"/>
  <c r="J101" i="5" s="1"/>
  <c r="J117" i="5" s="1"/>
  <c r="K75" i="5"/>
  <c r="K78" i="5" s="1"/>
  <c r="K100" i="5" s="1"/>
  <c r="K116" i="5" s="1"/>
  <c r="K146" i="5"/>
  <c r="B66" i="4"/>
  <c r="K150" i="5"/>
  <c r="K151" i="5" s="1"/>
  <c r="K129" i="5" s="1"/>
  <c r="K99" i="5"/>
  <c r="K48" i="5"/>
  <c r="K145" i="5"/>
  <c r="K147" i="5" s="1"/>
  <c r="K130" i="5" s="1"/>
  <c r="K114" i="5"/>
  <c r="K125" i="5" s="1"/>
  <c r="K94" i="5"/>
  <c r="K95" i="5"/>
  <c r="K115" i="5"/>
  <c r="K126" i="5" s="1"/>
  <c r="K96" i="5"/>
  <c r="B38" i="4"/>
  <c r="G181" i="2" l="1"/>
  <c r="J102" i="7"/>
  <c r="J97" i="7"/>
  <c r="H97" i="2"/>
  <c r="H102" i="2"/>
  <c r="J9" i="8"/>
  <c r="E118" i="7"/>
  <c r="E119" i="7" s="1"/>
  <c r="E110" i="7"/>
  <c r="G108" i="7"/>
  <c r="G113" i="7" s="1"/>
  <c r="J76" i="2"/>
  <c r="J78" i="2" s="1"/>
  <c r="J100" i="2" s="1"/>
  <c r="J116" i="2" s="1"/>
  <c r="J127" i="2" s="1"/>
  <c r="H5" i="3"/>
  <c r="I92" i="2"/>
  <c r="G88" i="2"/>
  <c r="D29" i="7"/>
  <c r="D30" i="7" s="1"/>
  <c r="C30" i="7"/>
  <c r="F191" i="7"/>
  <c r="F194" i="7" s="1"/>
  <c r="H146" i="2"/>
  <c r="H126" i="2"/>
  <c r="H147" i="2"/>
  <c r="H130" i="2" s="1"/>
  <c r="G108" i="5"/>
  <c r="G109" i="5" s="1"/>
  <c r="I117" i="5"/>
  <c r="I102" i="5"/>
  <c r="G108" i="2"/>
  <c r="G113" i="2" s="1"/>
  <c r="G109" i="2"/>
  <c r="D118" i="7"/>
  <c r="D119" i="7" s="1"/>
  <c r="D110" i="7"/>
  <c r="H103" i="5"/>
  <c r="F191" i="2"/>
  <c r="F194" i="2" s="1"/>
  <c r="D29" i="2"/>
  <c r="D30" i="2" s="1"/>
  <c r="C30" i="2"/>
  <c r="F118" i="5"/>
  <c r="F119" i="5" s="1"/>
  <c r="F110" i="5"/>
  <c r="D110" i="5"/>
  <c r="D118" i="5"/>
  <c r="D119" i="5" s="1"/>
  <c r="H103" i="7"/>
  <c r="G73" i="2"/>
  <c r="G56" i="2"/>
  <c r="K97" i="5"/>
  <c r="F108" i="7"/>
  <c r="F113" i="7" s="1"/>
  <c r="G155" i="2"/>
  <c r="F108" i="2"/>
  <c r="F113" i="2" s="1"/>
  <c r="K82" i="5"/>
  <c r="K84" i="5" s="1"/>
  <c r="K101" i="5" s="1"/>
  <c r="K117" i="5" s="1"/>
  <c r="K176" i="5"/>
  <c r="K158" i="5"/>
  <c r="D118" i="2"/>
  <c r="D119" i="2" s="1"/>
  <c r="D110" i="2"/>
  <c r="I103" i="7"/>
  <c r="G44" i="2"/>
  <c r="E108" i="2"/>
  <c r="E113" i="2" s="1"/>
  <c r="H155" i="2"/>
  <c r="H88" i="2"/>
  <c r="H123" i="2"/>
  <c r="E109" i="5"/>
  <c r="K95" i="7"/>
  <c r="K96" i="7" s="1"/>
  <c r="K94" i="7"/>
  <c r="K48" i="7"/>
  <c r="K146" i="7"/>
  <c r="K150" i="7"/>
  <c r="K151" i="7" s="1"/>
  <c r="K129" i="7" s="1"/>
  <c r="K115" i="7"/>
  <c r="K126" i="7" s="1"/>
  <c r="K145" i="7"/>
  <c r="K147" i="7" s="1"/>
  <c r="K130" i="7" s="1"/>
  <c r="K114" i="7"/>
  <c r="K125" i="7" s="1"/>
  <c r="K99" i="7"/>
  <c r="C66" i="4"/>
  <c r="J102" i="5"/>
  <c r="H56" i="2" l="1"/>
  <c r="H44" i="2"/>
  <c r="H181" i="2"/>
  <c r="G124" i="5"/>
  <c r="G131" i="5" s="1"/>
  <c r="G110" i="5"/>
  <c r="K97" i="7"/>
  <c r="K102" i="7"/>
  <c r="K76" i="2"/>
  <c r="K78" i="2" s="1"/>
  <c r="K100" i="2" s="1"/>
  <c r="K116" i="2" s="1"/>
  <c r="K127" i="2" s="1"/>
  <c r="J89" i="2"/>
  <c r="H8" i="3"/>
  <c r="H9" i="3" s="1"/>
  <c r="E118" i="5"/>
  <c r="E119" i="5" s="1"/>
  <c r="E110" i="5"/>
  <c r="F109" i="2"/>
  <c r="J103" i="5"/>
  <c r="G113" i="5"/>
  <c r="G118" i="5" s="1"/>
  <c r="C201" i="2"/>
  <c r="E201" i="2" s="1"/>
  <c r="G201" i="2" s="1"/>
  <c r="E38" i="2"/>
  <c r="I181" i="2"/>
  <c r="E109" i="2"/>
  <c r="K102" i="5"/>
  <c r="B61" i="4"/>
  <c r="I95" i="2"/>
  <c r="I96" i="2" s="1"/>
  <c r="I94" i="2"/>
  <c r="I114" i="2"/>
  <c r="I125" i="2" s="1"/>
  <c r="B33" i="4"/>
  <c r="I48" i="2"/>
  <c r="I145" i="2"/>
  <c r="I99" i="2"/>
  <c r="I93" i="2"/>
  <c r="I150" i="2"/>
  <c r="I151" i="2" s="1"/>
  <c r="I129" i="2" s="1"/>
  <c r="H103" i="2"/>
  <c r="G124" i="2"/>
  <c r="G131" i="2" s="1"/>
  <c r="G118" i="2"/>
  <c r="G110" i="2"/>
  <c r="H138" i="2"/>
  <c r="G109" i="7"/>
  <c r="H73" i="2"/>
  <c r="I103" i="5"/>
  <c r="F109" i="7"/>
  <c r="C201" i="7"/>
  <c r="E201" i="7" s="1"/>
  <c r="G201" i="7" s="1"/>
  <c r="E38" i="7"/>
  <c r="J103" i="7"/>
  <c r="I56" i="2" l="1"/>
  <c r="I123" i="2"/>
  <c r="I44" i="2"/>
  <c r="I102" i="2"/>
  <c r="I97" i="2"/>
  <c r="G182" i="5"/>
  <c r="G184" i="5" s="1"/>
  <c r="G119" i="5"/>
  <c r="K103" i="5"/>
  <c r="J92" i="2"/>
  <c r="I5" i="3"/>
  <c r="I147" i="2"/>
  <c r="I130" i="2" s="1"/>
  <c r="E118" i="2"/>
  <c r="E119" i="2" s="1"/>
  <c r="E110" i="2"/>
  <c r="F110" i="7"/>
  <c r="F118" i="7"/>
  <c r="F119" i="7" s="1"/>
  <c r="G166" i="2"/>
  <c r="I138" i="2"/>
  <c r="K103" i="7"/>
  <c r="I155" i="2"/>
  <c r="I73" i="2"/>
  <c r="F118" i="2"/>
  <c r="F119" i="2" s="1"/>
  <c r="F110" i="2"/>
  <c r="G182" i="2"/>
  <c r="G184" i="2" s="1"/>
  <c r="G119" i="2"/>
  <c r="G118" i="7"/>
  <c r="G124" i="7"/>
  <c r="G131" i="7" s="1"/>
  <c r="G110" i="7"/>
  <c r="I88" i="2"/>
  <c r="I146" i="2"/>
  <c r="I126" i="2"/>
  <c r="J138" i="2"/>
  <c r="J44" i="2"/>
  <c r="J181" i="2"/>
  <c r="G166" i="5"/>
  <c r="J73" i="2" l="1"/>
  <c r="B62" i="4"/>
  <c r="J95" i="2"/>
  <c r="J94" i="2"/>
  <c r="B34" i="4"/>
  <c r="J114" i="2"/>
  <c r="J125" i="2" s="1"/>
  <c r="J48" i="2"/>
  <c r="J99" i="2"/>
  <c r="J145" i="2"/>
  <c r="J93" i="2"/>
  <c r="J150" i="2"/>
  <c r="J151" i="2" s="1"/>
  <c r="J129" i="2" s="1"/>
  <c r="J96" i="2"/>
  <c r="K8" i="2"/>
  <c r="K73" i="2"/>
  <c r="J56" i="2"/>
  <c r="J155" i="2"/>
  <c r="G132" i="2"/>
  <c r="G182" i="7"/>
  <c r="G184" i="7" s="1"/>
  <c r="G119" i="7"/>
  <c r="E59" i="4"/>
  <c r="G59" i="4" s="1"/>
  <c r="H59" i="4" s="1"/>
  <c r="I59" i="4" s="1"/>
  <c r="E31" i="4"/>
  <c r="G31" i="4" s="1"/>
  <c r="H31" i="4" s="1"/>
  <c r="I31" i="4" s="1"/>
  <c r="G166" i="7"/>
  <c r="G132" i="5"/>
  <c r="G168" i="5"/>
  <c r="J88" i="2"/>
  <c r="G167" i="5"/>
  <c r="J123" i="2"/>
  <c r="G167" i="2"/>
  <c r="I8" i="3"/>
  <c r="I9" i="3" s="1"/>
  <c r="K89" i="2"/>
  <c r="I103" i="2"/>
  <c r="G168" i="2" l="1"/>
  <c r="G169" i="2"/>
  <c r="K155" i="2"/>
  <c r="G156" i="2"/>
  <c r="G132" i="7"/>
  <c r="G167" i="7"/>
  <c r="G168" i="7" s="1"/>
  <c r="J102" i="2"/>
  <c r="J97" i="2"/>
  <c r="G187" i="2"/>
  <c r="G193" i="2"/>
  <c r="G194" i="2" s="1"/>
  <c r="H193" i="2"/>
  <c r="H194" i="2" s="1"/>
  <c r="H187" i="2"/>
  <c r="I187" i="2"/>
  <c r="I193" i="2"/>
  <c r="I194" i="2" s="1"/>
  <c r="J187" i="2"/>
  <c r="J193" i="2"/>
  <c r="J194" i="2" s="1"/>
  <c r="C206" i="2"/>
  <c r="E206" i="2" s="1"/>
  <c r="G206" i="2" s="1"/>
  <c r="J146" i="2"/>
  <c r="J126" i="2"/>
  <c r="K123" i="2"/>
  <c r="K56" i="2"/>
  <c r="K181" i="2"/>
  <c r="K88" i="2"/>
  <c r="K138" i="2"/>
  <c r="G169" i="5"/>
  <c r="G157" i="5" s="1"/>
  <c r="K44" i="2"/>
  <c r="J5" i="3"/>
  <c r="J8" i="3" s="1"/>
  <c r="J9" i="3" s="1"/>
  <c r="K92" i="2"/>
  <c r="G156" i="5"/>
  <c r="J147" i="2"/>
  <c r="J130" i="2" s="1"/>
  <c r="G156" i="7" l="1"/>
  <c r="G159" i="5"/>
  <c r="G185" i="5" s="1"/>
  <c r="B63" i="4"/>
  <c r="C38" i="4"/>
  <c r="K114" i="2"/>
  <c r="K125" i="2" s="1"/>
  <c r="K150" i="2"/>
  <c r="K151" i="2" s="1"/>
  <c r="K129" i="2" s="1"/>
  <c r="K94" i="2"/>
  <c r="K48" i="2"/>
  <c r="K145" i="2"/>
  <c r="K99" i="2"/>
  <c r="K93" i="2"/>
  <c r="K95" i="2"/>
  <c r="B35" i="4"/>
  <c r="K96" i="2"/>
  <c r="H163" i="5"/>
  <c r="H165" i="5" s="1"/>
  <c r="H133" i="5" s="1"/>
  <c r="J59" i="4"/>
  <c r="G157" i="7" s="1"/>
  <c r="G171" i="5"/>
  <c r="H162" i="2"/>
  <c r="J103" i="2"/>
  <c r="G169" i="7" l="1"/>
  <c r="G171" i="7" s="1"/>
  <c r="H163" i="7"/>
  <c r="H165" i="7" s="1"/>
  <c r="H133" i="7" s="1"/>
  <c r="K147" i="2"/>
  <c r="K130" i="2" s="1"/>
  <c r="G134" i="5"/>
  <c r="G135" i="5" s="1"/>
  <c r="G141" i="5" s="1"/>
  <c r="K102" i="2"/>
  <c r="K97" i="2"/>
  <c r="H105" i="5"/>
  <c r="K146" i="2"/>
  <c r="K126" i="2"/>
  <c r="G159" i="7"/>
  <c r="G185" i="7" s="1"/>
  <c r="H175" i="5"/>
  <c r="H177" i="5" s="1"/>
  <c r="G142" i="5" l="1"/>
  <c r="G134" i="7"/>
  <c r="G135" i="7" s="1"/>
  <c r="G141" i="7" s="1"/>
  <c r="H112" i="5"/>
  <c r="H106" i="5"/>
  <c r="H105" i="7"/>
  <c r="K103" i="2"/>
  <c r="H175" i="7"/>
  <c r="H177" i="7" s="1"/>
  <c r="G142" i="7" l="1"/>
  <c r="H112" i="7"/>
  <c r="H106" i="7"/>
  <c r="H108" i="5"/>
  <c r="H113" i="5" s="1"/>
  <c r="H109" i="5"/>
  <c r="H140" i="5"/>
  <c r="G186" i="5"/>
  <c r="G188" i="5" s="1"/>
  <c r="H110" i="5" l="1"/>
  <c r="H118" i="5"/>
  <c r="H124" i="5"/>
  <c r="H131" i="5" s="1"/>
  <c r="H140" i="7"/>
  <c r="G186" i="7"/>
  <c r="G188" i="7" s="1"/>
  <c r="H108" i="7"/>
  <c r="H113" i="7" s="1"/>
  <c r="H109" i="7"/>
  <c r="H110" i="7" l="1"/>
  <c r="H118" i="7"/>
  <c r="H124" i="7"/>
  <c r="H131" i="7" s="1"/>
  <c r="H166" i="5"/>
  <c r="H119" i="5"/>
  <c r="H182" i="5"/>
  <c r="H184" i="5" s="1"/>
  <c r="E60" i="4" l="1"/>
  <c r="G60" i="4" s="1"/>
  <c r="H60" i="4" s="1"/>
  <c r="I60" i="4" s="1"/>
  <c r="E32" i="4"/>
  <c r="G32" i="4" s="1"/>
  <c r="H32" i="4" s="1"/>
  <c r="I32" i="4" s="1"/>
  <c r="H182" i="7"/>
  <c r="H184" i="7" s="1"/>
  <c r="H119" i="7"/>
  <c r="H166" i="7"/>
  <c r="H132" i="5"/>
  <c r="H167" i="5"/>
  <c r="H132" i="7" l="1"/>
  <c r="H167" i="7"/>
  <c r="H168" i="7" s="1"/>
  <c r="H168" i="5"/>
  <c r="H169" i="5" s="1"/>
  <c r="H157" i="5" s="1"/>
  <c r="I163" i="5" l="1"/>
  <c r="I165" i="5" s="1"/>
  <c r="I133" i="5" s="1"/>
  <c r="J60" i="4"/>
  <c r="H157" i="7" s="1"/>
  <c r="H156" i="7"/>
  <c r="H171" i="5"/>
  <c r="H156" i="5"/>
  <c r="H169" i="7" l="1"/>
  <c r="H171" i="7" s="1"/>
  <c r="I163" i="7"/>
  <c r="I165" i="7" s="1"/>
  <c r="I133" i="7" s="1"/>
  <c r="H134" i="5"/>
  <c r="H135" i="5" s="1"/>
  <c r="H141" i="5" s="1"/>
  <c r="I105" i="5"/>
  <c r="H159" i="5"/>
  <c r="H185" i="5" s="1"/>
  <c r="I175" i="5"/>
  <c r="I177" i="5" s="1"/>
  <c r="H176" i="2"/>
  <c r="H164" i="2"/>
  <c r="H158" i="2" s="1"/>
  <c r="H159" i="7"/>
  <c r="H185" i="7" s="1"/>
  <c r="I176" i="2" l="1"/>
  <c r="I164" i="2"/>
  <c r="I158" i="2" s="1"/>
  <c r="H142" i="5"/>
  <c r="I175" i="7"/>
  <c r="I177" i="7" s="1"/>
  <c r="H134" i="7"/>
  <c r="H135" i="7" s="1"/>
  <c r="H141" i="7" s="1"/>
  <c r="I112" i="5"/>
  <c r="I106" i="5"/>
  <c r="I105" i="7"/>
  <c r="J176" i="2" l="1"/>
  <c r="J164" i="2"/>
  <c r="J158" i="2" s="1"/>
  <c r="I108" i="5"/>
  <c r="I113" i="5" s="1"/>
  <c r="I112" i="7"/>
  <c r="I106" i="7"/>
  <c r="H142" i="7"/>
  <c r="H186" i="5"/>
  <c r="H188" i="5" s="1"/>
  <c r="I140" i="5"/>
  <c r="K176" i="2" l="1"/>
  <c r="K164" i="2"/>
  <c r="K158" i="2" s="1"/>
  <c r="I109" i="5"/>
  <c r="I110" i="5"/>
  <c r="I118" i="5"/>
  <c r="I124" i="5"/>
  <c r="I131" i="5" s="1"/>
  <c r="H186" i="7"/>
  <c r="H188" i="7" s="1"/>
  <c r="I140" i="7"/>
  <c r="I108" i="7"/>
  <c r="I113" i="7" s="1"/>
  <c r="I166" i="5"/>
  <c r="I109" i="7" l="1"/>
  <c r="I124" i="7"/>
  <c r="I131" i="7" s="1"/>
  <c r="I110" i="7"/>
  <c r="I118" i="7"/>
  <c r="I166" i="7"/>
  <c r="I132" i="5"/>
  <c r="I167" i="5"/>
  <c r="I119" i="5"/>
  <c r="I182" i="5"/>
  <c r="I184" i="5" s="1"/>
  <c r="E61" i="4" l="1"/>
  <c r="G61" i="4" s="1"/>
  <c r="H61" i="4" s="1"/>
  <c r="I61" i="4" s="1"/>
  <c r="E33" i="4"/>
  <c r="G33" i="4" s="1"/>
  <c r="H33" i="4" s="1"/>
  <c r="I33" i="4" s="1"/>
  <c r="I132" i="7"/>
  <c r="I168" i="7"/>
  <c r="I156" i="7" s="1"/>
  <c r="I168" i="5"/>
  <c r="I182" i="7"/>
  <c r="I184" i="7" s="1"/>
  <c r="I119" i="7"/>
  <c r="I167" i="7"/>
  <c r="I156" i="5" l="1"/>
  <c r="I169" i="5"/>
  <c r="I157" i="5" s="1"/>
  <c r="J163" i="5" l="1"/>
  <c r="J165" i="5" s="1"/>
  <c r="J133" i="5" s="1"/>
  <c r="J61" i="4"/>
  <c r="I157" i="7" s="1"/>
  <c r="I159" i="5"/>
  <c r="I185" i="5" s="1"/>
  <c r="I171" i="5"/>
  <c r="J175" i="5" l="1"/>
  <c r="J177" i="5" s="1"/>
  <c r="I169" i="7"/>
  <c r="I171" i="7" s="1"/>
  <c r="J163" i="7"/>
  <c r="J165" i="7" s="1"/>
  <c r="J133" i="7" s="1"/>
  <c r="I159" i="7"/>
  <c r="I185" i="7" s="1"/>
  <c r="I134" i="5"/>
  <c r="I135" i="5" s="1"/>
  <c r="I141" i="5" s="1"/>
  <c r="J105" i="5"/>
  <c r="J175" i="7" l="1"/>
  <c r="J177" i="7" s="1"/>
  <c r="J112" i="5"/>
  <c r="J106" i="5"/>
  <c r="J105" i="7"/>
  <c r="I134" i="7"/>
  <c r="I135" i="7" s="1"/>
  <c r="I141" i="7" s="1"/>
  <c r="I142" i="5"/>
  <c r="J108" i="5" l="1"/>
  <c r="J113" i="5" s="1"/>
  <c r="I186" i="5"/>
  <c r="I188" i="5" s="1"/>
  <c r="J140" i="5"/>
  <c r="I142" i="7"/>
  <c r="J112" i="7"/>
  <c r="J106" i="7"/>
  <c r="J108" i="7" l="1"/>
  <c r="J113" i="7" s="1"/>
  <c r="J140" i="7"/>
  <c r="I186" i="7"/>
  <c r="I188" i="7" s="1"/>
  <c r="J109" i="5"/>
  <c r="J118" i="5" l="1"/>
  <c r="J124" i="5"/>
  <c r="J131" i="5" s="1"/>
  <c r="J110" i="5"/>
  <c r="J109" i="7"/>
  <c r="J118" i="7" l="1"/>
  <c r="J110" i="7"/>
  <c r="J124" i="7"/>
  <c r="J131" i="7" s="1"/>
  <c r="J166" i="5"/>
  <c r="J167" i="5" s="1"/>
  <c r="J182" i="5"/>
  <c r="J184" i="5" s="1"/>
  <c r="J119" i="5"/>
  <c r="E62" i="4" l="1"/>
  <c r="G62" i="4" s="1"/>
  <c r="H62" i="4" s="1"/>
  <c r="I62" i="4" s="1"/>
  <c r="E34" i="4"/>
  <c r="G34" i="4" s="1"/>
  <c r="H34" i="4" s="1"/>
  <c r="I34" i="4" s="1"/>
  <c r="J166" i="7"/>
  <c r="J132" i="5"/>
  <c r="J168" i="5"/>
  <c r="J182" i="7"/>
  <c r="J184" i="7" s="1"/>
  <c r="J119" i="7"/>
  <c r="J132" i="7" l="1"/>
  <c r="J167" i="7"/>
  <c r="J168" i="7" s="1"/>
  <c r="J156" i="5"/>
  <c r="J169" i="5"/>
  <c r="J157" i="5" s="1"/>
  <c r="J171" i="5" l="1"/>
  <c r="J156" i="7"/>
  <c r="K163" i="5"/>
  <c r="K165" i="5" s="1"/>
  <c r="K133" i="5" s="1"/>
  <c r="J62" i="4"/>
  <c r="J157" i="7" s="1"/>
  <c r="J159" i="5"/>
  <c r="J185" i="5" s="1"/>
  <c r="J134" i="5"/>
  <c r="J135" i="5" s="1"/>
  <c r="J141" i="5" s="1"/>
  <c r="J159" i="7" l="1"/>
  <c r="J185" i="7" s="1"/>
  <c r="K105" i="5"/>
  <c r="K175" i="5"/>
  <c r="K177" i="5" s="1"/>
  <c r="J142" i="5"/>
  <c r="J169" i="7"/>
  <c r="J171" i="7" s="1"/>
  <c r="K163" i="7"/>
  <c r="K165" i="7" s="1"/>
  <c r="K133" i="7" s="1"/>
  <c r="K175" i="7" l="1"/>
  <c r="K177" i="7" s="1"/>
  <c r="J186" i="5"/>
  <c r="J188" i="5" s="1"/>
  <c r="K140" i="5"/>
  <c r="K105" i="7"/>
  <c r="J134" i="7"/>
  <c r="J135" i="7" s="1"/>
  <c r="J141" i="7" s="1"/>
  <c r="K112" i="5"/>
  <c r="K106" i="5"/>
  <c r="C216" i="5"/>
  <c r="E216" i="5" s="1"/>
  <c r="G216" i="5" s="1"/>
  <c r="K108" i="5" l="1"/>
  <c r="K109" i="5" s="1"/>
  <c r="C210" i="5"/>
  <c r="J142" i="7"/>
  <c r="K112" i="7"/>
  <c r="K106" i="7"/>
  <c r="C216" i="7"/>
  <c r="E216" i="7" s="1"/>
  <c r="G216" i="7" s="1"/>
  <c r="K110" i="5" l="1"/>
  <c r="K124" i="5"/>
  <c r="K131" i="5" s="1"/>
  <c r="K113" i="5"/>
  <c r="K118" i="5" s="1"/>
  <c r="K108" i="7"/>
  <c r="K109" i="7"/>
  <c r="C210" i="7"/>
  <c r="J186" i="7"/>
  <c r="J188" i="7" s="1"/>
  <c r="K140" i="7"/>
  <c r="C26" i="10" l="1"/>
  <c r="K182" i="5"/>
  <c r="K184" i="5" s="1"/>
  <c r="K119" i="5"/>
  <c r="B39" i="4"/>
  <c r="B67" i="4"/>
  <c r="K110" i="7"/>
  <c r="K118" i="7"/>
  <c r="K124" i="7"/>
  <c r="K131" i="7" s="1"/>
  <c r="K113" i="7"/>
  <c r="K166" i="5"/>
  <c r="K167" i="5" s="1"/>
  <c r="B68" i="4" l="1"/>
  <c r="B40" i="4"/>
  <c r="K187" i="5"/>
  <c r="E26" i="10"/>
  <c r="E63" i="4"/>
  <c r="G63" i="4" s="1"/>
  <c r="H63" i="4" s="1"/>
  <c r="I63" i="4" s="1"/>
  <c r="E35" i="4"/>
  <c r="G35" i="4" s="1"/>
  <c r="H35" i="4" s="1"/>
  <c r="I35" i="4" s="1"/>
  <c r="K167" i="7"/>
  <c r="C28" i="10"/>
  <c r="K119" i="7"/>
  <c r="E28" i="10" s="1"/>
  <c r="K182" i="7"/>
  <c r="K184" i="7" s="1"/>
  <c r="C67" i="4"/>
  <c r="K166" i="7"/>
  <c r="K132" i="5"/>
  <c r="K168" i="5"/>
  <c r="K156" i="5" s="1"/>
  <c r="C213" i="5" l="1"/>
  <c r="C68" i="4"/>
  <c r="K187" i="7"/>
  <c r="K169" i="5"/>
  <c r="K157" i="5" s="1"/>
  <c r="C214" i="5" s="1"/>
  <c r="K132" i="7"/>
  <c r="K168" i="7"/>
  <c r="K156" i="7" s="1"/>
  <c r="K171" i="5" l="1"/>
  <c r="C214" i="7"/>
  <c r="C213" i="7"/>
  <c r="K171" i="7"/>
  <c r="K134" i="5"/>
  <c r="K135" i="5" s="1"/>
  <c r="C208" i="5" s="1"/>
  <c r="C211" i="5"/>
  <c r="J63" i="4"/>
  <c r="K157" i="7" s="1"/>
  <c r="K169" i="7" s="1"/>
  <c r="K159" i="5"/>
  <c r="K159" i="7" l="1"/>
  <c r="C203" i="7" s="1"/>
  <c r="E203" i="7" s="1"/>
  <c r="G203" i="7" s="1"/>
  <c r="G217" i="7" s="1"/>
  <c r="I1" i="7" s="1"/>
  <c r="K134" i="7"/>
  <c r="K135" i="7" s="1"/>
  <c r="C211" i="7"/>
  <c r="C208" i="7"/>
  <c r="K185" i="7"/>
  <c r="K185" i="5"/>
  <c r="C203" i="5"/>
  <c r="E203" i="5" s="1"/>
  <c r="G203" i="5" s="1"/>
  <c r="G217" i="5" s="1"/>
  <c r="I1" i="5" s="1"/>
  <c r="K141" i="5"/>
  <c r="B69" i="4" l="1"/>
  <c r="B41" i="4"/>
  <c r="K142" i="5"/>
  <c r="C202" i="5"/>
  <c r="C69" i="4"/>
  <c r="K141" i="7"/>
  <c r="K186" i="5" l="1"/>
  <c r="K188" i="5" s="1"/>
  <c r="C204" i="5"/>
  <c r="C212" i="5"/>
  <c r="F5" i="9"/>
  <c r="F13" i="9" s="1"/>
  <c r="D5" i="9"/>
  <c r="D13" i="9" s="1"/>
  <c r="B5" i="9"/>
  <c r="B13" i="9" s="1"/>
  <c r="E5" i="9"/>
  <c r="E13" i="9" s="1"/>
  <c r="C5" i="9"/>
  <c r="C13" i="9" s="1"/>
  <c r="K142" i="7"/>
  <c r="C202" i="7" s="1"/>
  <c r="K186" i="7" l="1"/>
  <c r="K188" i="7" s="1"/>
  <c r="C204" i="7"/>
  <c r="C212" i="7"/>
  <c r="B7" i="9"/>
  <c r="B15" i="9" s="1"/>
  <c r="F7" i="9"/>
  <c r="F15" i="9" s="1"/>
  <c r="C7" i="9"/>
  <c r="C15" i="9" s="1"/>
  <c r="D7" i="9"/>
  <c r="D15" i="9" s="1"/>
  <c r="E7" i="9"/>
  <c r="E15" i="9" s="1"/>
  <c r="B70" i="4"/>
  <c r="B42" i="4"/>
  <c r="K193" i="5"/>
  <c r="K194" i="5" l="1"/>
  <c r="C209" i="5"/>
  <c r="C225" i="5"/>
  <c r="C70" i="4"/>
  <c r="K193" i="7"/>
  <c r="C196" i="5" l="1"/>
  <c r="C205" i="5"/>
  <c r="C197" i="5"/>
  <c r="C226" i="5"/>
  <c r="K194" i="7"/>
  <c r="C225" i="7"/>
  <c r="C209" i="7"/>
  <c r="C196" i="7" l="1"/>
  <c r="C205" i="7"/>
  <c r="C197" i="7"/>
  <c r="C226" i="7"/>
  <c r="F26" i="10"/>
  <c r="B72" i="4"/>
  <c r="B44" i="4"/>
  <c r="D26" i="10"/>
  <c r="B43" i="4"/>
  <c r="B71" i="4"/>
  <c r="C207" i="5"/>
  <c r="F28" i="10" l="1"/>
  <c r="C72" i="4"/>
  <c r="D28" i="10"/>
  <c r="C71" i="4"/>
  <c r="C207" i="7"/>
  <c r="G157" i="2"/>
  <c r="G171" i="2"/>
  <c r="G134" i="2" s="1"/>
  <c r="G135" i="2" s="1"/>
  <c r="G141" i="2" s="1"/>
  <c r="G142" i="2" s="1"/>
  <c r="H140" i="2" s="1"/>
  <c r="H163" i="2" l="1"/>
  <c r="J31" i="4"/>
  <c r="H165" i="2"/>
  <c r="H133" i="2" s="1"/>
  <c r="G186" i="2"/>
  <c r="H175" i="2"/>
  <c r="H177" i="2" s="1"/>
  <c r="H105" i="2"/>
  <c r="G159" i="2"/>
  <c r="G185" i="2" s="1"/>
  <c r="G188" i="2" l="1"/>
  <c r="H106" i="2"/>
  <c r="H112" i="2"/>
  <c r="H108" i="2" l="1"/>
  <c r="H113" i="2" s="1"/>
  <c r="H109" i="2"/>
  <c r="H110" i="2" l="1"/>
  <c r="H124" i="2"/>
  <c r="H131" i="2" s="1"/>
  <c r="H118" i="2"/>
  <c r="H119" i="2" l="1"/>
  <c r="H182" i="2"/>
  <c r="H184" i="2" s="1"/>
  <c r="H166" i="2"/>
  <c r="H132" i="2" l="1"/>
  <c r="H167" i="2"/>
  <c r="H168" i="2" l="1"/>
  <c r="H169" i="2"/>
  <c r="H156" i="2"/>
  <c r="I162" i="2" l="1"/>
  <c r="H157" i="2"/>
  <c r="H171" i="2"/>
  <c r="H134" i="2"/>
  <c r="H135" i="2" s="1"/>
  <c r="H141" i="2" s="1"/>
  <c r="H142" i="2" s="1"/>
  <c r="H186" i="2" s="1"/>
  <c r="J32" i="4" l="1"/>
  <c r="H159" i="2"/>
  <c r="H185" i="2" s="1"/>
  <c r="H188" i="2" s="1"/>
  <c r="I163" i="2"/>
  <c r="I140" i="2"/>
  <c r="I105" i="2" l="1"/>
  <c r="I165" i="2"/>
  <c r="I133" i="2" s="1"/>
  <c r="I175" i="2"/>
  <c r="I177" i="2" s="1"/>
  <c r="I112" i="2" l="1"/>
  <c r="I106" i="2"/>
  <c r="I108" i="2" l="1"/>
  <c r="I113" i="2" s="1"/>
  <c r="I109" i="2" l="1"/>
  <c r="I124" i="2"/>
  <c r="I131" i="2" s="1"/>
  <c r="I110" i="2"/>
  <c r="I118" i="2"/>
  <c r="I182" i="2" l="1"/>
  <c r="I184" i="2" s="1"/>
  <c r="I119" i="2"/>
  <c r="I166" i="2"/>
  <c r="I132" i="2" l="1"/>
  <c r="I167" i="2"/>
  <c r="I168" i="2" l="1"/>
  <c r="I169" i="2" s="1"/>
  <c r="I156" i="2"/>
  <c r="J162" i="2" l="1"/>
  <c r="I157" i="2"/>
  <c r="I159" i="2" s="1"/>
  <c r="I185" i="2" s="1"/>
  <c r="I171" i="2"/>
  <c r="I134" i="2" s="1"/>
  <c r="I135" i="2" s="1"/>
  <c r="I141" i="2" s="1"/>
  <c r="I142" i="2" s="1"/>
  <c r="J163" i="2" l="1"/>
  <c r="J33" i="4"/>
  <c r="J105" i="2"/>
  <c r="J165" i="2"/>
  <c r="J133" i="2" s="1"/>
  <c r="J175" i="2"/>
  <c r="J177" i="2" s="1"/>
  <c r="I186" i="2"/>
  <c r="I188" i="2" s="1"/>
  <c r="J140" i="2"/>
  <c r="J106" i="2" l="1"/>
  <c r="J112" i="2"/>
  <c r="J108" i="2" l="1"/>
  <c r="J113" i="2" s="1"/>
  <c r="J109" i="2"/>
  <c r="J124" i="2" l="1"/>
  <c r="J131" i="2" s="1"/>
  <c r="J118" i="2"/>
  <c r="J110" i="2"/>
  <c r="J182" i="2" l="1"/>
  <c r="J184" i="2" s="1"/>
  <c r="J119" i="2"/>
  <c r="J166" i="2"/>
  <c r="J132" i="2" l="1"/>
  <c r="J167" i="2"/>
  <c r="J168" i="2" l="1"/>
  <c r="J169" i="2" s="1"/>
  <c r="J156" i="2" l="1"/>
  <c r="K162" i="2"/>
  <c r="K163" i="2"/>
  <c r="K105" i="2" s="1"/>
  <c r="K165" i="2"/>
  <c r="K133" i="2"/>
  <c r="J171" i="2"/>
  <c r="J134" i="2"/>
  <c r="J135" i="2"/>
  <c r="J141" i="2" s="1"/>
  <c r="J157" i="2"/>
  <c r="J159" i="2" l="1"/>
  <c r="J185" i="2" s="1"/>
  <c r="J34" i="4"/>
  <c r="J142" i="2"/>
  <c r="K112" i="2"/>
  <c r="K106" i="2"/>
  <c r="K175" i="2"/>
  <c r="K177" i="2" s="1"/>
  <c r="C216" i="2" s="1"/>
  <c r="E216" i="2" s="1"/>
  <c r="G216" i="2" s="1"/>
  <c r="J186" i="2" l="1"/>
  <c r="J188" i="2" s="1"/>
  <c r="K140" i="2"/>
  <c r="K108" i="2"/>
  <c r="K109" i="2"/>
  <c r="C210" i="2"/>
  <c r="E210" i="2" s="1"/>
  <c r="G210" i="2" s="1"/>
  <c r="K110" i="2" l="1"/>
  <c r="K124" i="2"/>
  <c r="K131" i="2" s="1"/>
  <c r="K113" i="2"/>
  <c r="K118" i="2" s="1"/>
  <c r="K166" i="2"/>
  <c r="K182" i="2" l="1"/>
  <c r="K184" i="2" s="1"/>
  <c r="K119" i="2"/>
  <c r="E27" i="10" s="1"/>
  <c r="C39" i="4"/>
  <c r="C27" i="10"/>
  <c r="K132" i="2"/>
  <c r="K167" i="2"/>
  <c r="K168" i="2" l="1"/>
  <c r="K169" i="2"/>
  <c r="K156" i="2"/>
  <c r="C40" i="4"/>
  <c r="K187" i="2"/>
  <c r="C213" i="2" l="1"/>
  <c r="E213" i="2" s="1"/>
  <c r="G213" i="2" s="1"/>
  <c r="C211" i="2"/>
  <c r="E211" i="2" s="1"/>
  <c r="G211" i="2" s="1"/>
  <c r="K171" i="2"/>
  <c r="K157" i="2"/>
  <c r="C214" i="2" l="1"/>
  <c r="E214" i="2" s="1"/>
  <c r="G214" i="2" s="1"/>
  <c r="J35" i="4"/>
  <c r="K159" i="2"/>
  <c r="K134" i="2"/>
  <c r="K135" i="2" s="1"/>
  <c r="C203" i="2"/>
  <c r="E203" i="2" s="1"/>
  <c r="G203" i="2" s="1"/>
  <c r="K141" i="2" l="1"/>
  <c r="K185" i="2"/>
  <c r="C208" i="2"/>
  <c r="E208" i="2" s="1"/>
  <c r="G208" i="2" s="1"/>
  <c r="C41" i="4" l="1"/>
  <c r="K142" i="2"/>
  <c r="C202" i="2"/>
  <c r="E202" i="2" s="1"/>
  <c r="G202" i="2" s="1"/>
  <c r="C204" i="2" l="1"/>
  <c r="E204" i="2" s="1"/>
  <c r="G204" i="2" s="1"/>
  <c r="K186" i="2"/>
  <c r="K188" i="2" s="1"/>
  <c r="C212" i="2"/>
  <c r="E212" i="2" s="1"/>
  <c r="G212" i="2" s="1"/>
  <c r="F6" i="9"/>
  <c r="F14" i="9" s="1"/>
  <c r="E6" i="9"/>
  <c r="E14" i="9" s="1"/>
  <c r="D6" i="9"/>
  <c r="D14" i="9" s="1"/>
  <c r="B6" i="9"/>
  <c r="B14" i="9" s="1"/>
  <c r="C6" i="9"/>
  <c r="C14" i="9" s="1"/>
  <c r="C42" i="4" l="1"/>
  <c r="K193" i="2"/>
  <c r="C209" i="2" l="1"/>
  <c r="E209" i="2" s="1"/>
  <c r="G209" i="2" s="1"/>
  <c r="K194" i="2"/>
  <c r="C225" i="2"/>
  <c r="E225" i="2" s="1"/>
  <c r="G225" i="2" s="1"/>
  <c r="C226" i="2" l="1"/>
  <c r="E226" i="2" s="1"/>
  <c r="G226" i="2" s="1"/>
  <c r="C205" i="2"/>
  <c r="E205" i="2" s="1"/>
  <c r="G205" i="2" s="1"/>
  <c r="C197" i="2"/>
  <c r="C196" i="2"/>
  <c r="C44" i="4" l="1"/>
  <c r="F27" i="10"/>
  <c r="C23" i="10"/>
  <c r="C22" i="10"/>
  <c r="D27" i="10"/>
  <c r="C43" i="4"/>
  <c r="C207" i="2"/>
  <c r="E207" i="2" s="1"/>
  <c r="G207" i="2" s="1"/>
  <c r="G217" i="2" s="1"/>
  <c r="I1" i="2" s="1"/>
</calcChain>
</file>

<file path=xl/sharedStrings.xml><?xml version="1.0" encoding="utf-8"?>
<sst xmlns="http://schemas.openxmlformats.org/spreadsheetml/2006/main" count="1216" uniqueCount="545">
  <si>
    <t>Read Me First | Fall 2026 LBO Model</t>
  </si>
  <si>
    <t>Student instructions, editable inputs, and model checks</t>
  </si>
  <si>
    <t>START HERE</t>
  </si>
  <si>
    <t>EDITING CONVENTIONS</t>
  </si>
  <si>
    <r>
      <rPr>
        <sz val="10"/>
        <color rgb="FF000000"/>
        <rFont val="Arial"/>
        <family val="2"/>
        <charset val="1"/>
      </rPr>
      <t xml:space="preserve">A </t>
    </r>
    <r>
      <rPr>
        <b/>
        <sz val="10"/>
        <color rgb="FF000000"/>
        <rFont val="Arial"/>
        <family val="2"/>
        <charset val="1"/>
      </rPr>
      <t>leveraged buyout (LBO)</t>
    </r>
    <r>
      <rPr>
        <sz val="10"/>
        <color rgb="FF000000"/>
        <rFont val="Arial"/>
        <family val="2"/>
        <charset val="1"/>
      </rPr>
      <t xml:space="preserve"> is the purchase of a company using borrowed money and investor equity. This workbook is a starting template, not a completed company analysis.
</t>
    </r>
    <r>
      <rPr>
        <b/>
        <sz val="10"/>
        <color rgb="FF000000"/>
        <rFont val="Arial"/>
        <family val="2"/>
        <charset val="1"/>
      </rPr>
      <t>Replace the sample company data</t>
    </r>
    <r>
      <rPr>
        <sz val="10"/>
        <color rgb="FF000000"/>
        <rFont val="Arial"/>
        <family val="2"/>
        <charset val="1"/>
      </rPr>
      <t xml:space="preserve"> with verified history and supported forecasts. Do not invent missing information. Dollar amounts and share counts are in millions, except per-share prices. The calculations and input cells are on the LBO Model tab.</t>
    </r>
  </si>
  <si>
    <r>
      <rPr>
        <b/>
        <sz val="10"/>
        <color rgb="FF0000FF"/>
        <rFont val="Arial"/>
        <family val="2"/>
        <charset val="1"/>
      </rPr>
      <t>Blue text + yellow fill = an editable input.</t>
    </r>
    <r>
      <rPr>
        <sz val="10"/>
        <color rgb="FF000000"/>
        <rFont val="Arial"/>
        <family val="2"/>
        <charset val="1"/>
      </rPr>
      <t xml:space="preserve"> Support your company and deal assumptions with evidence.
</t>
    </r>
    <r>
      <rPr>
        <b/>
        <sz val="10"/>
        <color rgb="FF000000"/>
        <rFont val="Arial"/>
        <family val="2"/>
        <charset val="1"/>
      </rPr>
      <t>Black calculation cells = formulas.</t>
    </r>
    <r>
      <rPr>
        <sz val="10"/>
        <color rgb="FF000000"/>
        <rFont val="Arial"/>
        <family val="2"/>
        <charset val="1"/>
      </rPr>
      <t xml:space="preserve"> Do not type over them. The </t>
    </r>
    <r>
      <rPr>
        <b/>
        <sz val="10"/>
        <color rgb="FF000000"/>
        <rFont val="Arial"/>
        <family val="2"/>
        <charset val="1"/>
      </rPr>
      <t>gray SOFR cells are fixed assumptions</t>
    </r>
    <r>
      <rPr>
        <sz val="10"/>
        <color rgb="FF000000"/>
        <rFont val="Arial"/>
        <family val="2"/>
        <charset val="1"/>
      </rPr>
      <t>, not student inputs. A dash in a number cell can mean zero; check the formula bar.
A passing calculation check does not verify your sources or investment recommendation.</t>
    </r>
  </si>
  <si>
    <t>FISCAL-YEAR SETUP</t>
  </si>
  <si>
    <t>CASH-TAX CONVENTION</t>
  </si>
  <si>
    <r>
      <rPr>
        <b/>
        <sz val="10"/>
        <color rgb="FF000000"/>
        <rFont val="Arial"/>
        <family val="2"/>
        <charset val="1"/>
      </rPr>
      <t>Start with the company's latest completed fiscal year</t>
    </r>
    <r>
      <rPr>
        <sz val="10"/>
        <color rgb="FF000000"/>
        <rFont val="Arial"/>
        <family val="2"/>
        <charset val="1"/>
      </rPr>
      <t xml:space="preserve">, meaning the year covered by its most recent full-year results. Enter that year in </t>
    </r>
    <r>
      <rPr>
        <b/>
        <sz val="10"/>
        <color rgb="FF000000"/>
        <rFont val="Arial"/>
        <family val="2"/>
        <charset val="1"/>
      </rPr>
      <t>K11</t>
    </r>
    <r>
      <rPr>
        <sz val="10"/>
        <color rgb="FF000000"/>
        <rFont val="Arial"/>
        <family val="2"/>
        <charset val="1"/>
      </rPr>
      <t xml:space="preserve">, then its year-end month and day in </t>
    </r>
    <r>
      <rPr>
        <b/>
        <sz val="10"/>
        <color rgb="FF000000"/>
        <rFont val="Arial"/>
        <family val="2"/>
        <charset val="1"/>
      </rPr>
      <t>K14/K15</t>
    </r>
    <r>
      <rPr>
        <sz val="10"/>
        <color rgb="FF000000"/>
        <rFont val="Arial"/>
        <family val="2"/>
        <charset val="1"/>
      </rPr>
      <t>. Cell references in this guide are on LBO Model.
The model shows three historical years (</t>
    </r>
    <r>
      <rPr>
        <b/>
        <sz val="10"/>
        <color rgb="FF000000"/>
        <rFont val="Arial"/>
        <family val="2"/>
        <charset val="1"/>
      </rPr>
      <t>A = Actual</t>
    </r>
    <r>
      <rPr>
        <sz val="10"/>
        <color rgb="FF000000"/>
        <rFont val="Arial"/>
        <family val="2"/>
        <charset val="1"/>
      </rPr>
      <t>) and five forecast years (</t>
    </r>
    <r>
      <rPr>
        <b/>
        <sz val="10"/>
        <color rgb="FF000000"/>
        <rFont val="Arial"/>
        <family val="2"/>
        <charset val="1"/>
      </rPr>
      <t>E = Expected</t>
    </r>
    <r>
      <rPr>
        <sz val="10"/>
        <color rgb="FF000000"/>
        <rFont val="Arial"/>
        <family val="2"/>
        <charset val="1"/>
      </rPr>
      <t xml:space="preserve">). The sample dates are examples, not a requirement to treat 2026 as reported.
The provided three-month SOFR curve is </t>
    </r>
    <r>
      <rPr>
        <b/>
        <sz val="10"/>
        <color rgb="FF000000"/>
        <rFont val="Arial"/>
        <family val="2"/>
        <charset val="1"/>
      </rPr>
      <t>fixed</t>
    </r>
    <r>
      <rPr>
        <sz val="10"/>
        <color rgb="FF000000"/>
        <rFont val="Arial"/>
        <family val="2"/>
        <charset val="1"/>
      </rPr>
      <t>. Keep these rates in their existing forecast columns, even if you adjust the fiscal-year dates.</t>
    </r>
  </si>
  <si>
    <r>
      <rPr>
        <b/>
        <sz val="10"/>
        <color rgb="FF000000"/>
        <rFont val="Arial"/>
        <family val="2"/>
        <charset val="1"/>
      </rPr>
      <t>Cash taxes</t>
    </r>
    <r>
      <rPr>
        <sz val="10"/>
        <color rgb="FF000000"/>
        <rFont val="Arial"/>
        <family val="2"/>
        <charset val="1"/>
      </rPr>
      <t xml:space="preserve"> are the taxes paid in the forecast. When pretax income is positive, the model applies the combined tax rate in </t>
    </r>
    <r>
      <rPr>
        <b/>
        <sz val="10"/>
        <color rgb="FF000000"/>
        <rFont val="Arial"/>
        <family val="2"/>
        <charset val="1"/>
      </rPr>
      <t>G16</t>
    </r>
    <r>
      <rPr>
        <sz val="10"/>
        <color rgb="FF000000"/>
        <rFont val="Arial"/>
        <family val="2"/>
        <charset val="1"/>
      </rPr>
      <t xml:space="preserve">, which adds the state and federal rates in G14/G15.
</t>
    </r>
    <r>
      <rPr>
        <b/>
        <sz val="10"/>
        <color rgb="FF000000"/>
        <rFont val="Arial"/>
        <family val="2"/>
        <charset val="1"/>
      </rPr>
      <t>A loss year produces zero cash tax</t>
    </r>
    <r>
      <rPr>
        <sz val="10"/>
        <color rgb="FF000000"/>
        <rFont val="Arial"/>
        <family val="2"/>
        <charset val="1"/>
      </rPr>
      <t>, not an assumed cash refund. The model does not track losses that might reduce taxes in later years, called net operating losses (NOLs).
Taxes affect the cash available for debt repayment and, ultimately, the investors' return. Use this simplified treatment consistently.</t>
    </r>
  </si>
  <si>
    <t>CASH, DEBT REPAYMENT, AND CALCULATION</t>
  </si>
  <si>
    <t>SOFR, OID, AND DEBT PRICING</t>
  </si>
  <si>
    <r>
      <rPr>
        <b/>
        <sz val="10"/>
        <color rgb="FF000000"/>
        <rFont val="Arial"/>
        <family val="2"/>
        <charset val="1"/>
      </rPr>
      <t>Debt balances:</t>
    </r>
    <r>
      <rPr>
        <sz val="10"/>
        <color rgb="FF000000"/>
        <rFont val="Arial"/>
        <family val="2"/>
        <charset val="1"/>
      </rPr>
      <t xml:space="preserve"> column F shows debt at closing; G:K shows each forecast year-end. Interest uses the average of beginning and ending debt.
</t>
    </r>
    <r>
      <rPr>
        <b/>
        <sz val="10"/>
        <color rgb="FF000000"/>
        <rFont val="Arial"/>
        <family val="2"/>
        <charset val="1"/>
      </rPr>
      <t>Optional repayment:</t>
    </r>
    <r>
      <rPr>
        <sz val="10"/>
        <color rgb="FF000000"/>
        <rFont val="Arial"/>
        <family val="2"/>
        <charset val="1"/>
      </rPr>
      <t xml:space="preserve"> G11 sets the share of current-year excess cash used to repay debt early. It defaults to 0%. The model applies it once, paying the revolver first, then the first-lien loan. Notes receive no optional repayment.
A </t>
    </r>
    <r>
      <rPr>
        <b/>
        <sz val="10"/>
        <color rgb="FF000000"/>
        <rFont val="Arial"/>
        <family val="2"/>
        <charset val="1"/>
      </rPr>
      <t>revolver</t>
    </r>
    <r>
      <rPr>
        <sz val="10"/>
        <color rgb="FF000000"/>
        <rFont val="Arial"/>
        <family val="2"/>
        <charset val="1"/>
      </rPr>
      <t xml:space="preserve"> is a credit line. New borrowing can cover a cash shortfall only up to the unused credit limit. Borrowed cash is not swept into optional repayment. </t>
    </r>
    <r>
      <rPr>
        <b/>
        <sz val="10"/>
        <color rgb="FF000000"/>
        <rFont val="Arial"/>
        <family val="2"/>
        <charset val="1"/>
      </rPr>
      <t>Retained cash flow (row 135)</t>
    </r>
    <r>
      <rPr>
        <sz val="10"/>
        <color rgb="FF000000"/>
        <rFont val="Arial"/>
        <family val="2"/>
        <charset val="1"/>
      </rPr>
      <t xml:space="preserve"> stays in company cash; it is not paid to investors during the holding period. At exit, remaining debt is deducted and retained cash is added when calculating the investors' proceeds.
Interest and debt depend on each other, so Excel must use iterative calculation. Leave </t>
    </r>
    <r>
      <rPr>
        <b/>
        <sz val="10"/>
        <color rgb="FF000000"/>
        <rFont val="Arial"/>
        <family val="2"/>
        <charset val="1"/>
      </rPr>
      <t>K13 at 1</t>
    </r>
    <r>
      <rPr>
        <sz val="10"/>
        <color rgb="FF000000"/>
        <rFont val="Arial"/>
        <family val="2"/>
        <charset val="1"/>
      </rPr>
      <t xml:space="preserve"> for normal use; see the calculation instructions below.</t>
    </r>
  </si>
  <si>
    <r>
      <rPr>
        <b/>
        <sz val="10"/>
        <color rgb="FF000000"/>
        <rFont val="Arial"/>
        <family val="2"/>
        <charset val="1"/>
      </rPr>
      <t>First-lien loan:</t>
    </r>
    <r>
      <rPr>
        <sz val="10"/>
        <color rgb="FF000000"/>
        <rFont val="Arial"/>
        <family val="2"/>
        <charset val="1"/>
      </rPr>
      <t xml:space="preserve"> the sample uses a seven-year term, SOFR + 3.75%, 1% OID, and annual principal repayments of 1% of the original loan. </t>
    </r>
    <r>
      <rPr>
        <b/>
        <sz val="10"/>
        <color rgb="FF000000"/>
        <rFont val="Arial"/>
        <family val="2"/>
        <charset val="1"/>
      </rPr>
      <t>S + 375</t>
    </r>
    <r>
      <rPr>
        <sz val="10"/>
        <color rgb="FF000000"/>
        <rFont val="Arial"/>
        <family val="2"/>
        <charset val="1"/>
      </rPr>
      <t xml:space="preserve"> means SOFR plus 375 basis points; 100 basis points equals 1 percentage point. G10 sets the SOFR floor, initially 0%.
</t>
    </r>
    <r>
      <rPr>
        <b/>
        <sz val="10"/>
        <color rgb="FF000000"/>
        <rFont val="Arial"/>
        <family val="2"/>
        <charset val="1"/>
      </rPr>
      <t>OID</t>
    </r>
    <r>
      <rPr>
        <sz val="10"/>
        <color rgb="FF000000"/>
        <rFont val="Arial"/>
        <family val="2"/>
        <charset val="1"/>
      </rPr>
      <t xml:space="preserve"> is an issue discount: 1% means receiving $99 for every $100 borrowed. It is not a principal repayment. The model spreads OID and upfront fees over the debt term. </t>
    </r>
    <r>
      <rPr>
        <b/>
        <sz val="10"/>
        <color rgb="FF000000"/>
        <rFont val="Arial"/>
        <family val="2"/>
        <charset val="1"/>
      </rPr>
      <t>Tenor</t>
    </r>
    <r>
      <rPr>
        <sz val="10"/>
        <color rgb="FF000000"/>
        <rFont val="Arial"/>
        <family val="2"/>
        <charset val="1"/>
      </rPr>
      <t xml:space="preserve"> means years to maturity; the model does not automatically repay the full loan when that term ends.
</t>
    </r>
    <r>
      <rPr>
        <b/>
        <sz val="10"/>
        <color rgb="FF000000"/>
        <rFont val="Arial"/>
        <family val="2"/>
        <charset val="1"/>
      </rPr>
      <t>Fees:</t>
    </r>
    <r>
      <rPr>
        <sz val="10"/>
        <color rgb="FF000000"/>
        <rFont val="Arial"/>
        <family val="2"/>
        <charset val="1"/>
      </rPr>
      <t xml:space="preserve"> G9 is the annual fee on unused revolver capacity. J25:J27 are separate one-time fees at closing.
</t>
    </r>
    <r>
      <rPr>
        <b/>
        <sz val="10"/>
        <color rgb="FF000000"/>
        <rFont val="Arial"/>
        <family val="2"/>
        <charset val="1"/>
      </rPr>
      <t>Senior Unsecured Notes</t>
    </r>
    <r>
      <rPr>
        <sz val="10"/>
        <color rgb="FF000000"/>
        <rFont val="Arial"/>
        <family val="2"/>
        <charset val="1"/>
      </rPr>
      <t xml:space="preserve"> are optional debt, not required financing. The sample is $355 million for eight years at 7.5% fixed interest, with zero OID and no required annual or optional repayment. Support material changes to financing inputs with dated evidence.</t>
    </r>
  </si>
  <si>
    <t>FIXED SOFR CURVE AND REQUIRED MODEL CHECKS</t>
  </si>
  <si>
    <r>
      <rPr>
        <b/>
        <sz val="10"/>
        <color rgb="FF000000"/>
        <rFont val="Arial"/>
        <family val="2"/>
        <charset val="1"/>
      </rPr>
      <t>The supplied SOFR curve.</t>
    </r>
    <r>
      <rPr>
        <sz val="10"/>
        <color rgb="FF000000"/>
        <rFont val="Arial"/>
        <family val="2"/>
        <charset val="1"/>
      </rPr>
      <t xml:space="preserve"> SOFR is an interest-rate benchmark used to price the floating-rate loans. The six gray cells in F69:K69 provide the model's three-month SOFR assumptions as of August 13, 2026. They are fixed for the competition, not inputs for students to research or update. For each forecast year, the model averages the adjacent year-end rates, applies the SOFR floor, and adds the loan's spread. Keep these rates in their existing forecast columns, even if you adjust the fiscal-year dates.
</t>
    </r>
    <r>
      <rPr>
        <b/>
        <sz val="10"/>
        <color rgb="FF000000"/>
        <rFont val="Arial"/>
        <family val="2"/>
        <charset val="1"/>
      </rPr>
      <t>Calculation settings.</t>
    </r>
    <r>
      <rPr>
        <sz val="10"/>
        <color rgb="FF000000"/>
        <rFont val="Arial"/>
        <family val="2"/>
        <charset val="1"/>
      </rPr>
      <t xml:space="preserve"> Use Automatic calculation, with iterative calculation enabled: 1,000 maximum iterations and 0.000001 maximum change. If a formula fails, set K13 to 0, correct the cause, then restore K13 to 1 and recalculate. K13 does not turn on Excel's calculation settings.
</t>
    </r>
    <r>
      <rPr>
        <b/>
        <sz val="10"/>
        <color rgb="FF000000"/>
        <rFont val="Arial"/>
        <family val="2"/>
        <charset val="1"/>
      </rPr>
      <t>Required results.</t>
    </r>
    <r>
      <rPr>
        <sz val="10"/>
        <color rgb="FF000000"/>
        <rFont val="Arial"/>
        <family val="2"/>
        <charset val="1"/>
      </rPr>
      <t xml:space="preserve"> The Sources and Uses check (E38) must show YES; G201:G216 and G220:G226 must show OK; Calculation Integrity (G217) must show PASS. Review cash, debt, minimum cash, revolver capacity, repayments, OID, interest, taxes, returns and dates. The lower illustrative checks do not replace testing your own assumptions.
</t>
    </r>
    <r>
      <rPr>
        <b/>
        <sz val="10"/>
        <color rgb="FF000000"/>
        <rFont val="Arial"/>
        <family val="2"/>
        <charset val="1"/>
      </rPr>
      <t>Decision Readiness (G218) stays at NEEDS INPUT.</t>
    </r>
    <r>
      <rPr>
        <sz val="10"/>
        <color rgb="FF000000"/>
        <rFont val="Arial"/>
        <family val="2"/>
        <charset val="1"/>
      </rPr>
      <t xml:space="preserve"> It is a reminder to review your company data, evidence and final memo, not a test that turns to PASS when you finish. You must complete that review yourself.</t>
    </r>
  </si>
  <si>
    <t>ACRONYM GLOSSARY</t>
  </si>
  <si>
    <r>
      <rPr>
        <b/>
        <sz val="10"/>
        <color rgb="FF000000"/>
        <rFont val="Arial"/>
        <family val="2"/>
        <charset val="1"/>
      </rPr>
      <t>LBO:</t>
    </r>
    <r>
      <rPr>
        <sz val="10"/>
        <color rgb="FF000000"/>
        <rFont val="Arial"/>
        <family val="2"/>
        <charset val="1"/>
      </rPr>
      <t xml:space="preserve"> Leveraged buyout, a purchase financed with debt and investor equity.
</t>
    </r>
    <r>
      <rPr>
        <b/>
        <sz val="10"/>
        <color rgb="FF000000"/>
        <rFont val="Arial"/>
        <family val="2"/>
        <charset val="1"/>
      </rPr>
      <t>EV:</t>
    </r>
    <r>
      <rPr>
        <sz val="10"/>
        <color rgb="FF000000"/>
        <rFont val="Arial"/>
        <family val="2"/>
        <charset val="1"/>
      </rPr>
      <t xml:space="preserve"> Enterprise value, the value of the business before allocating value to debt and equity.
</t>
    </r>
    <r>
      <rPr>
        <b/>
        <sz val="10"/>
        <color rgb="FF000000"/>
        <rFont val="Arial"/>
        <family val="2"/>
        <charset val="1"/>
      </rPr>
      <t>EBITDA:</t>
    </r>
    <r>
      <rPr>
        <sz val="10"/>
        <color rgb="FF000000"/>
        <rFont val="Arial"/>
        <family val="2"/>
        <charset val="1"/>
      </rPr>
      <t xml:space="preserve"> Earnings before interest, taxes, depreciation and amortization.
</t>
    </r>
    <r>
      <rPr>
        <b/>
        <sz val="10"/>
        <color rgb="FF000000"/>
        <rFont val="Arial"/>
        <family val="2"/>
        <charset val="1"/>
      </rPr>
      <t>FCF:</t>
    </r>
    <r>
      <rPr>
        <sz val="10"/>
        <color rgb="FF000000"/>
        <rFont val="Arial"/>
        <family val="2"/>
        <charset val="1"/>
      </rPr>
      <t xml:space="preserve"> Free cash flow. Follow the row label to distinguish cash before and after debt repayments.
</t>
    </r>
    <r>
      <rPr>
        <b/>
        <sz val="10"/>
        <color rgb="FF000000"/>
        <rFont val="Arial"/>
        <family val="2"/>
        <charset val="1"/>
      </rPr>
      <t>D&amp;A:</t>
    </r>
    <r>
      <rPr>
        <sz val="10"/>
        <color rgb="FF000000"/>
        <rFont val="Arial"/>
        <family val="2"/>
        <charset val="1"/>
      </rPr>
      <t xml:space="preserve"> Depreciation and amortization, expenses that allocate asset costs over time.
</t>
    </r>
    <r>
      <rPr>
        <b/>
        <sz val="10"/>
        <color rgb="FF000000"/>
        <rFont val="Arial"/>
        <family val="2"/>
        <charset val="1"/>
      </rPr>
      <t>SG&amp;A:</t>
    </r>
    <r>
      <rPr>
        <sz val="10"/>
        <color rgb="FF000000"/>
        <rFont val="Arial"/>
        <family val="2"/>
        <charset val="1"/>
      </rPr>
      <t xml:space="preserve"> Selling, general and administrative expenses, such as sales and office costs.
</t>
    </r>
    <r>
      <rPr>
        <b/>
        <sz val="10"/>
        <color rgb="FF000000"/>
        <rFont val="Arial"/>
        <family val="2"/>
        <charset val="1"/>
      </rPr>
      <t>CapEx:</t>
    </r>
    <r>
      <rPr>
        <sz val="10"/>
        <color rgb="FF000000"/>
        <rFont val="Arial"/>
        <family val="2"/>
        <charset val="1"/>
      </rPr>
      <t xml:space="preserve"> Capital expenditures, spending on long-lived assets such as equipment.
</t>
    </r>
    <r>
      <rPr>
        <b/>
        <sz val="10"/>
        <color rgb="FF000000"/>
        <rFont val="Arial"/>
        <family val="2"/>
        <charset val="1"/>
      </rPr>
      <t>OID:</t>
    </r>
    <r>
      <rPr>
        <sz val="10"/>
        <color rgb="FF000000"/>
        <rFont val="Arial"/>
        <family val="2"/>
        <charset val="1"/>
      </rPr>
      <t xml:space="preserve"> Original issue discount, the difference between debt face value and its issue proceeds.
</t>
    </r>
    <r>
      <rPr>
        <b/>
        <sz val="10"/>
        <color rgb="FF000000"/>
        <rFont val="Arial"/>
        <family val="2"/>
        <charset val="1"/>
      </rPr>
      <t>NOL:</t>
    </r>
    <r>
      <rPr>
        <sz val="10"/>
        <color rgb="FF000000"/>
        <rFont val="Arial"/>
        <family val="2"/>
        <charset val="1"/>
      </rPr>
      <t xml:space="preserve"> Net operating loss, a tax loss that may reduce taxable income in a later year.
</t>
    </r>
    <r>
      <rPr>
        <b/>
        <sz val="10"/>
        <color rgb="FF000000"/>
        <rFont val="Arial"/>
        <family val="2"/>
        <charset val="1"/>
      </rPr>
      <t>SOFR / S:</t>
    </r>
    <r>
      <rPr>
        <sz val="10"/>
        <color rgb="FF000000"/>
        <rFont val="Arial"/>
        <family val="2"/>
        <charset val="1"/>
      </rPr>
      <t xml:space="preserve"> Secured Overnight Financing Rate. S denotes SOFR in the loan-pricing cells.
</t>
    </r>
    <r>
      <rPr>
        <b/>
        <sz val="10"/>
        <color rgb="FF000000"/>
        <rFont val="Arial"/>
        <family val="2"/>
        <charset val="1"/>
      </rPr>
      <t>A / E:</t>
    </r>
    <r>
      <rPr>
        <sz val="10"/>
        <color rgb="FF000000"/>
        <rFont val="Arial"/>
        <family val="2"/>
        <charset val="1"/>
      </rPr>
      <t xml:space="preserve"> Actual historical results / Expected forecast results.
</t>
    </r>
    <r>
      <rPr>
        <b/>
        <sz val="10"/>
        <color rgb="FF000000"/>
        <rFont val="Arial"/>
        <family val="2"/>
        <charset val="1"/>
      </rPr>
      <t>x:</t>
    </r>
    <r>
      <rPr>
        <sz val="10"/>
        <color rgb="FF000000"/>
        <rFont val="Arial"/>
        <family val="2"/>
        <charset val="1"/>
      </rPr>
      <t xml:space="preserve"> Times, used for valuation and investment-return multiples.
</t>
    </r>
    <r>
      <rPr>
        <b/>
        <sz val="10"/>
        <color rgb="FF000000"/>
        <rFont val="Arial"/>
        <family val="2"/>
        <charset val="1"/>
      </rPr>
      <t>N/A:</t>
    </r>
    <r>
      <rPr>
        <sz val="10"/>
        <color rgb="FF000000"/>
        <rFont val="Arial"/>
        <family val="2"/>
        <charset val="1"/>
      </rPr>
      <t xml:space="preserve"> Not available; the model cannot calculate a meaningful return from the inputs.</t>
    </r>
  </si>
  <si>
    <t>FINAL CHECKLIST</t>
  </si>
  <si>
    <r>
      <rPr>
        <b/>
        <sz val="10"/>
        <color rgb="FF000000"/>
        <rFont val="Arial"/>
        <family val="2"/>
        <charset val="1"/>
      </rPr>
      <t>1. Company data:</t>
    </r>
    <r>
      <rPr>
        <sz val="10"/>
        <color rgb="FF000000"/>
        <rFont val="Arial"/>
        <family val="2"/>
        <charset val="1"/>
      </rPr>
      <t xml:space="preserve"> Replace sample inputs with verified history and supported forecasts. Use credible, dated evidence and explain material deal-assumption changes.
</t>
    </r>
    <r>
      <rPr>
        <b/>
        <sz val="10"/>
        <color rgb="FF000000"/>
        <rFont val="Arial"/>
        <family val="2"/>
        <charset val="1"/>
      </rPr>
      <t>2. Dates and financing:</t>
    </r>
    <r>
      <rPr>
        <sz val="10"/>
        <color rgb="FF000000"/>
        <rFont val="Arial"/>
        <family val="2"/>
        <charset val="1"/>
      </rPr>
      <t xml:space="preserve"> Check K11 and K14/K15. Keep the fixed SOFR rates in their existing forecast columns. Review debt amounts, spreads, fees, OID, principal repayments and the applicable competition requirements.
</t>
    </r>
    <r>
      <rPr>
        <b/>
        <sz val="10"/>
        <color rgb="FF000000"/>
        <rFont val="Arial"/>
        <family val="2"/>
        <charset val="1"/>
      </rPr>
      <t>3. Model checks:</t>
    </r>
    <r>
      <rPr>
        <sz val="10"/>
        <color rgb="FF000000"/>
        <rFont val="Arial"/>
        <family val="2"/>
        <charset val="1"/>
      </rPr>
      <t xml:space="preserve"> Obtain YES, OK and PASS in the locations listed above. Separately complete the company-data and source review; the NEEDS INPUT reminder will remain.
</t>
    </r>
    <r>
      <rPr>
        <b/>
        <sz val="10"/>
        <color rgb="FF000000"/>
        <rFont val="Arial"/>
        <family val="2"/>
        <charset val="1"/>
      </rPr>
      <t>4. Final memo:</t>
    </r>
    <r>
      <rPr>
        <sz val="10"/>
        <color rgb="FF000000"/>
        <rFont val="Arial"/>
        <family val="2"/>
        <charset val="1"/>
      </rPr>
      <t xml:space="preserve"> Make purchase price, financing, free cash flow, ending debt and cash, multiple on invested capital, and internal rate of return agree with the final model.</t>
    </r>
  </si>
  <si>
    <t>TECHNOLOGY AND VALUE CREATION (OPTIONAL)</t>
  </si>
  <si>
    <t>New this year, an optional technology component invites you to consider how your target company could become more valuable after an acquisition. You might explore how technology could improve its products or services, create revenue opportunities, increase productivity, or strengthen margins. Make sure to connect the idea to the company's business and credible evidence.
If you include this component, describe how the company currently uses technology, the opportunity you see, and the realistic benefits, costs and timing of your proposal. Limited public disclosure does not necessarily mean the company has a technology gap.
You may discuss your idea qualitatively without changing the model. If you can support estimates of benefits and costs, include them in the relevant forecast assumptions without counting anything already included a second time. The optional fourth flash memo slide provides space for your proposal.</t>
  </si>
  <si>
    <t>JBT Marel Corporation | 6% Base Case LBO</t>
  </si>
  <si>
    <t>Calculation Integrity</t>
  </si>
  <si>
    <t>USD millions; 2023–25 history, FY26 close baseline, five-year sponsor hold (2027–31). See Revenue Build and Value Creation &amp; AI tabs for assumptions and scenarios.</t>
  </si>
  <si>
    <t>6% Base Case | FY2027–FY2031 forecast | 5-year hold</t>
  </si>
  <si>
    <t>Transaction Assumptions</t>
  </si>
  <si>
    <t>Purchase Price</t>
  </si>
  <si>
    <t>Structuring</t>
  </si>
  <si>
    <t>Sponsor Exit</t>
  </si>
  <si>
    <t>Company Name</t>
  </si>
  <si>
    <t>JBT Marel Corporation</t>
  </si>
  <si>
    <t>Revolver Capacity</t>
  </si>
  <si>
    <t>Exit Year</t>
  </si>
  <si>
    <t>Ticker Symbol</t>
  </si>
  <si>
    <t>JBTM</t>
  </si>
  <si>
    <t>Revolver Unused Fee</t>
  </si>
  <si>
    <t>EBITDA Multiple</t>
  </si>
  <si>
    <t>Current Stock Price</t>
  </si>
  <si>
    <t>SOFR Floor</t>
  </si>
  <si>
    <t>Exit Fees</t>
  </si>
  <si>
    <t>Premium Paid</t>
  </si>
  <si>
    <t>Optional Prepayment (0 - 100%)</t>
  </si>
  <si>
    <t>Last Completed Fiscal Year</t>
  </si>
  <si>
    <t>Offer Price per Share</t>
  </si>
  <si>
    <t>Switches</t>
  </si>
  <si>
    <t>Diluted Shares Outstanding</t>
  </si>
  <si>
    <t>Other</t>
  </si>
  <si>
    <t>Total Equity Value</t>
  </si>
  <si>
    <t>State Tax Rate</t>
  </si>
  <si>
    <t>Fiscal Year-End Month</t>
  </si>
  <si>
    <t>Plus: Existing Debt</t>
  </si>
  <si>
    <t>Federal Tax Rate</t>
  </si>
  <si>
    <t>Fiscal Year-End Day</t>
  </si>
  <si>
    <t>Plus: Minority Interest</t>
  </si>
  <si>
    <t>Corporate Tax Rate</t>
  </si>
  <si>
    <t>Less: Cash Balance</t>
  </si>
  <si>
    <t>Minimum Cash Balance</t>
  </si>
  <si>
    <t>Total Enterprise Value</t>
  </si>
  <si>
    <t>LTM adjusted EBITDA (Jun-26)</t>
  </si>
  <si>
    <t>Purchase Multiple (EV / EBITDA)</t>
  </si>
  <si>
    <t>Sources &amp; Uses</t>
  </si>
  <si>
    <t>Sources of Funds</t>
  </si>
  <si>
    <t>Amount ($)</t>
  </si>
  <si>
    <t>x EBITDA</t>
  </si>
  <si>
    <t>Amortization</t>
  </si>
  <si>
    <t>Tenor</t>
  </si>
  <si>
    <t>Rate</t>
  </si>
  <si>
    <t>OID Input (%)</t>
  </si>
  <si>
    <t>OID ($)</t>
  </si>
  <si>
    <t>Fees (%)</t>
  </si>
  <si>
    <t>Fees ($)</t>
  </si>
  <si>
    <t>New First Lien Term Loan</t>
  </si>
  <si>
    <t>New Senior Unsecured Notes</t>
  </si>
  <si>
    <t>Cash from Balance Sheet</t>
  </si>
  <si>
    <t>New Sponsor Equity</t>
  </si>
  <si>
    <t>Total Sources of Funds</t>
  </si>
  <si>
    <t>Uses of Funds</t>
  </si>
  <si>
    <t>Purchase Price of Equity</t>
  </si>
  <si>
    <t>Refinance Existing Debt</t>
  </si>
  <si>
    <t>Cash to Balance Sheet</t>
  </si>
  <si>
    <t>Other One-Time Transaction Costs</t>
  </si>
  <si>
    <t>Estimated Fees &amp; Expenses</t>
  </si>
  <si>
    <t>Check</t>
  </si>
  <si>
    <t>Total Uses of Funds</t>
  </si>
  <si>
    <t>Financial Statement Assumptions</t>
  </si>
  <si>
    <t>Income Statement</t>
  </si>
  <si>
    <t>Protein Solutions growth</t>
  </si>
  <si>
    <t>Prepared F&amp;B Solutions growth</t>
  </si>
  <si>
    <t>Other revenue growth</t>
  </si>
  <si>
    <t>Total Revenues - Growth Rate</t>
  </si>
  <si>
    <t>Gross Profit Margin</t>
  </si>
  <si>
    <t>Normalized operating costs incl. D&amp;A / sales</t>
  </si>
  <si>
    <t>Balance Sheet</t>
  </si>
  <si>
    <t>Depreciation as a % of Sales</t>
  </si>
  <si>
    <t>Amortization as a % of Sales</t>
  </si>
  <si>
    <t>D&amp;A as a % of Sales</t>
  </si>
  <si>
    <t>Maintenance CapEx as % of Sales</t>
  </si>
  <si>
    <t>Growth CapEx as % of Sales</t>
  </si>
  <si>
    <t>Total CapEx as a % of Sales</t>
  </si>
  <si>
    <t>Net Working Capital (as % of Sales)</t>
  </si>
  <si>
    <t>SOFR Curve</t>
  </si>
  <si>
    <t>Forward 3-Month SOFR Curve (as of August 13, 2026)</t>
  </si>
  <si>
    <t>Amortization Schedule</t>
  </si>
  <si>
    <t>Amortization of OID</t>
  </si>
  <si>
    <t>Total Amortization of OID</t>
  </si>
  <si>
    <t>Amortization of Financing Fees</t>
  </si>
  <si>
    <t>Total Amortization of Financing Fees</t>
  </si>
  <si>
    <t>Protein Solutions</t>
  </si>
  <si>
    <t>Prepared F&amp;B Solutions</t>
  </si>
  <si>
    <t>Other revenue</t>
  </si>
  <si>
    <t>Total Revenues</t>
  </si>
  <si>
    <t>% growth</t>
  </si>
  <si>
    <t>Less: Costs of Goods Sold</t>
  </si>
  <si>
    <t>Gross Profit</t>
  </si>
  <si>
    <t>% margin</t>
  </si>
  <si>
    <t>Less: Normalized operating costs incl. D&amp;A</t>
  </si>
  <si>
    <t>Less: Amortization of OID</t>
  </si>
  <si>
    <t>Less: Amortization of Financing Fees</t>
  </si>
  <si>
    <t>Operating Income</t>
  </si>
  <si>
    <t>Less: Interest Expense</t>
  </si>
  <si>
    <t>Pre-Tax Income</t>
  </si>
  <si>
    <t>Less: Income Taxes</t>
  </si>
  <si>
    <t>Net Income</t>
  </si>
  <si>
    <t>Plus: Interest Expense</t>
  </si>
  <si>
    <t>Plus: Income Taxes</t>
  </si>
  <si>
    <t>Plus: Depreciation</t>
  </si>
  <si>
    <t>Plus: Amortization</t>
  </si>
  <si>
    <t>Plus: Amortization of OID</t>
  </si>
  <si>
    <t>Plus: Amortization of Financing Fees</t>
  </si>
  <si>
    <t>EBITDA</t>
  </si>
  <si>
    <t>Statement of Cash Flows</t>
  </si>
  <si>
    <t>Free Cash Flow &amp; Allocation</t>
  </si>
  <si>
    <t>Less: Change in Net Working Capital</t>
  </si>
  <si>
    <t>Less: Capital Expenditures</t>
  </si>
  <si>
    <t>Free Cash Flow Before Debt Repayment</t>
  </si>
  <si>
    <t>Plus: Revolver Draw to Minimum Cash</t>
  </si>
  <si>
    <t>Less: Mandatory Debt Repayments</t>
  </si>
  <si>
    <t>Less: Optional Debt Repayments</t>
  </si>
  <si>
    <t>Retained Cash Flow (Change in Cash)</t>
  </si>
  <si>
    <t>Balance Sheet Schedules</t>
  </si>
  <si>
    <t>Cash Balance</t>
  </si>
  <si>
    <t>Beginning Cash Balance</t>
  </si>
  <si>
    <t>Change in Cash Balance (Retained Cash Flow)</t>
  </si>
  <si>
    <t>Ending Cash Balance</t>
  </si>
  <si>
    <t>Capital Expenditures</t>
  </si>
  <si>
    <t>Maintenance Capital Expenditures</t>
  </si>
  <si>
    <t>Growth Capital Expenditures</t>
  </si>
  <si>
    <t>Total Capital Expenditures</t>
  </si>
  <si>
    <t>Working Capital</t>
  </si>
  <si>
    <t>Net Working Capital</t>
  </si>
  <si>
    <t>Change in Net Working Capital</t>
  </si>
  <si>
    <t>Debt Schedule</t>
  </si>
  <si>
    <t>Debt Balance (Year-End)</t>
  </si>
  <si>
    <t>2026 Pro Forma Close</t>
  </si>
  <si>
    <t>Total Debt</t>
  </si>
  <si>
    <t>Mandatory Debt Repayments</t>
  </si>
  <si>
    <t>Original Amount</t>
  </si>
  <si>
    <t>Total Mandatory Repayments</t>
  </si>
  <si>
    <t>Revolver Draw to Minimum Cash</t>
  </si>
  <si>
    <t>Cash Available for Optional Debt Repayment</t>
  </si>
  <si>
    <t>No Optional Prepayment on Notes</t>
  </si>
  <si>
    <t>Total Optional Repayments</t>
  </si>
  <si>
    <t>Interest Expense</t>
  </si>
  <si>
    <t>Amount</t>
  </si>
  <si>
    <t>Total Interest Expense</t>
  </si>
  <si>
    <t>Sponsor Returns Analysis</t>
  </si>
  <si>
    <t>Exit Analysis</t>
  </si>
  <si>
    <t>x Multiple (EV / EBITDA)</t>
  </si>
  <si>
    <t>Enterprise Value</t>
  </si>
  <si>
    <t>Less: Ending Debt</t>
  </si>
  <si>
    <t>Plus: Retained Cash on Balance Sheet</t>
  </si>
  <si>
    <t>Less: Estimated Fees &amp; Expenses</t>
  </si>
  <si>
    <t>Equity Value</t>
  </si>
  <si>
    <t>Sponsor Cash Flows (year-end convention)</t>
  </si>
  <si>
    <t>Initial Investment</t>
  </si>
  <si>
    <t>Plus: Interim Sponsor Distributions (default: none)</t>
  </si>
  <si>
    <t>Plus: Exit</t>
  </si>
  <si>
    <t>Total Sponsor Cash Flows</t>
  </si>
  <si>
    <t>Multiple on Invested Capital</t>
  </si>
  <si>
    <t>Internal Rate of Return</t>
  </si>
  <si>
    <t>Model Checks</t>
  </si>
  <si>
    <t>Actual</t>
  </si>
  <si>
    <t>Expected</t>
  </si>
  <si>
    <t>Difference</t>
  </si>
  <si>
    <t>Tolerance</t>
  </si>
  <si>
    <t>Status</t>
  </si>
  <si>
    <t>Notes</t>
  </si>
  <si>
    <t>Sources and Uses</t>
  </si>
  <si>
    <t>Total sources equal total uses within tolerance.</t>
  </si>
  <si>
    <t>Cash Roll</t>
  </si>
  <si>
    <t>Beginning cash plus retained cash flow equals ending cash.</t>
  </si>
  <si>
    <t>Debt Roll</t>
  </si>
  <si>
    <t>Prior year-end debt plus current draws and repayments equals each displayed fiscal year-end debt balance.</t>
  </si>
  <si>
    <t>Balance Sheet Schedule Check</t>
  </si>
  <si>
    <t>Checks cash, capital expenditures, net working capital, and debt schedules.</t>
  </si>
  <si>
    <t>Sponsor Cash Flows</t>
  </si>
  <si>
    <t>Each sponsor cash-flow period equals investment plus interim distribution plus exit proceeds.</t>
  </si>
  <si>
    <t>Date Alignment</t>
  </si>
  <si>
    <t>Three historical years end in 2025. FY26 is the closing baseline; the five modeled sponsor years are 2027–2031, with the entry date at Dec. 31, 2026.</t>
  </si>
  <si>
    <t>Key Formula Outputs</t>
  </si>
  <si>
    <t>Material outputs contain no formula errors.</t>
  </si>
  <si>
    <t>FCF Allocation</t>
  </si>
  <si>
    <t>Pre-debt FCF plus revolver draw, mandatory debt repayment, and optional debt repayment equals retained cash flow.</t>
  </si>
  <si>
    <t>No Sponsor FCF Double Count</t>
  </si>
  <si>
    <t>Interim sponsor distributions are zero and exit proceeds equal exit equity only.</t>
  </si>
  <si>
    <t>Forecast Cash-Tax Policy</t>
  </si>
  <si>
    <t>Positive income uses G16; loss years receive zero cash-tax benefit under the simplified no-NOL policy.</t>
  </si>
  <si>
    <t>Single Current-Year Sweep Pool</t>
  </si>
  <si>
    <t>Optional prepayment applies G11 once to current-year cash, with revolver priority and no simultaneous draw-and-sweep.</t>
  </si>
  <si>
    <t>Minimum Cash</t>
  </si>
  <si>
    <t>Ending cash remains at or above the operating minimum.</t>
  </si>
  <si>
    <t>Displayed year-end revolver debt does not exceed committed capacity.</t>
  </si>
  <si>
    <t>Nonnegative Year-End Debt</t>
  </si>
  <si>
    <t>All displayed year-end debt balances remain nonnegative.</t>
  </si>
  <si>
    <t>Input and Circularity Bounds</t>
  </si>
  <si>
    <t>Optional prepayment and tax rates remain within 0%-100%; fiscal-year inputs are valid; and the circularity reset is on.</t>
  </si>
  <si>
    <t>Interest Calculation Check</t>
  </si>
  <si>
    <t>Interest is based on opening debt less half of scheduled amortization; voluntary cash sweeps reduce debt after interest is calculated.</t>
  </si>
  <si>
    <t>Overall Calculation Integrity</t>
  </si>
  <si>
    <t>Aggregates all formula-integrity checks and illustrative tests.</t>
  </si>
  <si>
    <t>Decision Readiness</t>
  </si>
  <si>
    <t>Template reminder: replace illustrative company inputs with company-specific information and source support. Confirm supported deal assumptions and the final memo. This reminder does not automatically assess completion; Calculation Integrity tests model mechanics separately.</t>
  </si>
  <si>
    <t>Illustrative Validation Tests</t>
  </si>
  <si>
    <t>Loss-Year Cash Tax</t>
  </si>
  <si>
    <t>Illustrative pretax income of (10) produces zero cash tax and no immediate NOL benefit.</t>
  </si>
  <si>
    <t>Positive-Income Cash Tax</t>
  </si>
  <si>
    <t>Illustrative pretax income of 10 produces cash tax at the current combined G16 rate.</t>
  </si>
  <si>
    <t>Single-Pool 50% Sweep</t>
  </si>
  <si>
    <t>A 50% sweep of 40 applies once: 20 total, with revolver priority before first-lien debt.</t>
  </si>
  <si>
    <t>Near-Payoff Mandatory Amortization</t>
  </si>
  <si>
    <t>Beginning debt of 5 with 4.8 mandatory amortization ends at 0.2, without self-reference.</t>
  </si>
  <si>
    <t>Cash-Deficit Revolver Draw</t>
  </si>
  <si>
    <t>A 25 cash deficit from minimum cash draws 25 of available revolver capacity and does not create an optional sweep.</t>
  </si>
  <si>
    <t>Return FCF Double-Count</t>
  </si>
  <si>
    <t>Interim distributions are zero and sponsor exit proceeds equal exit equity only, so FCF reaches sponsors once.</t>
  </si>
  <si>
    <t>Return Periods and Sign Pattern</t>
  </si>
  <si>
    <t>Sponsor periods progress annually; entry is negative, and exactly one forecast exit cash flow is positive.</t>
  </si>
  <si>
    <t>JBT Marel Revenue Build | 6% Base Case</t>
  </si>
  <si>
    <t>6% Base Case revenue build; 2026 estimate is close baseline; analyst growth and AI assumptions are identified below.</t>
  </si>
  <si>
    <t>Revenue by segment</t>
  </si>
  <si>
    <t>2023A</t>
  </si>
  <si>
    <t>2024A</t>
  </si>
  <si>
    <t>2025A</t>
  </si>
  <si>
    <t>2026E</t>
  </si>
  <si>
    <t>2027E</t>
  </si>
  <si>
    <t>2028E</t>
  </si>
  <si>
    <t>2029E</t>
  </si>
  <si>
    <t>2030E</t>
  </si>
  <si>
    <t>2031E</t>
  </si>
  <si>
    <t>Prepared Food &amp; Beverage Solutions</t>
  </si>
  <si>
    <t>Total Revenue</t>
  </si>
  <si>
    <t>Revenue growth</t>
  </si>
  <si>
    <t>2025 reported segment mix</t>
  </si>
  <si>
    <t>Revenue</t>
  </si>
  <si>
    <t>Share of sales</t>
  </si>
  <si>
    <t>Recurring sales share</t>
  </si>
  <si>
    <t>Total recurring revenue</t>
  </si>
  <si>
    <t>Model assumptions</t>
  </si>
  <si>
    <t>Adjusted EBITDA margin</t>
  </si>
  <si>
    <t>Revenue growth after FY26</t>
  </si>
  <si>
    <t>Plain-English notes</t>
  </si>
  <si>
    <t>2023–24 combined sales are standalone JBT + Marel pro forma amounts; they were not audited combined financial statements.</t>
  </si>
  <si>
    <t>2023–24 segment split is an estimate using FY25 mix. FY25 segment revenue is reported. Other revenue is zero for simplicity.</t>
  </si>
  <si>
    <t>FY26 revenue is the midpoint of management’s $3,990–$4,065M guidance; segment split is an estimate consistent with 1H26 segment trends.</t>
  </si>
  <si>
    <t>6% annual revenue growth is an analyst scenario; the 20% FY2028 EBITDA margin target is management guidance. AI margin benefit is an analyst assumption where applicable.</t>
  </si>
  <si>
    <t>Synergy savings are reflected in the EBITDA margin target and are not added a second time. See Value Creation &amp; AI for management’s margin bridge, disclosed synergy schedule, and a separate AI upside case.</t>
  </si>
  <si>
    <t>LBO entry uses Sep. 25, 2026 stock price, June 30, 2026 debt/cash, July 24 shares, and LTM adjusted EBITDA through June 2026. Close assumed Dec. 31, 2026.</t>
  </si>
  <si>
    <t>Historical and projected operating statements are normalized to Adjusted EBITDA; they are not GAAP financial statements. Financing terms and a 12.95x exit multiple are illustrative.</t>
  </si>
  <si>
    <t>Source</t>
  </si>
  <si>
    <t>Use</t>
  </si>
  <si>
    <t>Link</t>
  </si>
  <si>
    <t>FY25 Form 10-K</t>
  </si>
  <si>
    <t>2025 segment revenue, recurring revenue, adjusted EBITDA, CapEx, D&amp;A</t>
  </si>
  <si>
    <t>https://www.sec.gov/Archives/edgar/data/1433660/000143366026000053/jbt-20251231.htm</t>
  </si>
  <si>
    <t>Q2 2026 Form 10-Q</t>
  </si>
  <si>
    <t>Shares, debt, cash, H1 segment revenue/EBITDA</t>
  </si>
  <si>
    <t>https://www.sec.gov/Archives/edgar/data/1433660/000162828026053548/jbt-20260630.htm</t>
  </si>
  <si>
    <t>Q2 2026 earnings release</t>
  </si>
  <si>
    <t>FY26 sales and EBITDA margin guidance</t>
  </si>
  <si>
    <t>https://www.sec.gov/Archives/edgar/data/1433660/000162828026051894/a2026q2earningsexhibit9918k.htm</t>
  </si>
  <si>
    <t>2026 Investor Day</t>
  </si>
  <si>
    <t>2028 5–7% organic sales growth / 20% adjusted EBITDA margin target; $150M savings run-rate target</t>
  </si>
  <si>
    <t>https://www.sec.gov/Archives/edgar/data/1433660/000143366026000071/exhibit991-jbtmarel2026i.htm</t>
  </si>
  <si>
    <t>2024 earnings release</t>
  </si>
  <si>
    <t>2024 combined standalone revenue and adjusted EBITDA</t>
  </si>
  <si>
    <t>https://www.sec.gov/Archives/edgar/data/1433660/000143366025000002/a2024q4earningsexhibit9918k.htm</t>
  </si>
  <si>
    <t>2023 combination presentation</t>
  </si>
  <si>
    <t>2023 JBT and Marel standalone revenue/EBITDA; combined proxy</t>
  </si>
  <si>
    <t>https://www.sec.gov/Archives/edgar/data/1433660/000119312524151787/d643713d425.htm</t>
  </si>
  <si>
    <t>JBTM historical share price</t>
  </si>
  <si>
    <t>Sep. 25, 2026 closing price of $110.05</t>
  </si>
  <si>
    <t>https://chartexchange.com/symbol/nyse-jbtm/historical/</t>
  </si>
  <si>
    <t>SOFR curve</t>
  </si>
  <si>
    <t>Existing fixed competition template curve, retained unchanged</t>
  </si>
  <si>
    <t>Fall 2026 LBO Model Template.xlsx</t>
  </si>
  <si>
    <t>JBT Marel Value Creation and Scenario Assumptions ($ millions)</t>
  </si>
  <si>
    <t>Company targets are separated from analyst assumptions. The AI case is an upside scenario, not management guidance.</t>
  </si>
  <si>
    <t>Management’s FY25–FY28 EBITDA margin bridge</t>
  </si>
  <si>
    <t>Low</t>
  </si>
  <si>
    <t>High</t>
  </si>
  <si>
    <t>Unit</t>
  </si>
  <si>
    <t>Meaning</t>
  </si>
  <si>
    <t>FY2025 adjusted EBITDA margin</t>
  </si>
  <si>
    <t>%</t>
  </si>
  <si>
    <t>Reported starting margin</t>
  </si>
  <si>
    <t>Growth / mix contribution</t>
  </si>
  <si>
    <t>% points</t>
  </si>
  <si>
    <t>Management estimate</t>
  </si>
  <si>
    <t>Cost synergy contribution</t>
  </si>
  <si>
    <t>Continuous improvement</t>
  </si>
  <si>
    <t>Implied FY2028 adjusted EBITDA margin</t>
  </si>
  <si>
    <t>Range is rounded; company target is 20%</t>
  </si>
  <si>
    <t>FY2028 adjusted EBITDA margin target</t>
  </si>
  <si>
    <t>Management target</t>
  </si>
  <si>
    <t>Disclosed cost synergy plan</t>
  </si>
  <si>
    <t>OPEX low</t>
  </si>
  <si>
    <t>OPEX high</t>
  </si>
  <si>
    <t>COGS low</t>
  </si>
  <si>
    <t>COGS high</t>
  </si>
  <si>
    <t>Total low</t>
  </si>
  <si>
    <t>Total high</t>
  </si>
  <si>
    <t>FY2025 actual</t>
  </si>
  <si>
    <t>FY2026 estimate</t>
  </si>
  <si>
    <t>FY2027 estimate</t>
  </si>
  <si>
    <t>FY2028 estimate</t>
  </si>
  <si>
    <t>Total in-year savings</t>
  </si>
  <si>
    <t>Annual run-rate milestone</t>
  </si>
  <si>
    <t>Savings</t>
  </si>
  <si>
    <t>Timing</t>
  </si>
  <si>
    <t>How the LBO uses it</t>
  </si>
  <si>
    <t>Run-rate savings achieved</t>
  </si>
  <si>
    <t>Exit FY2025</t>
  </si>
  <si>
    <t>Part of the reported and forecast earnings base</t>
  </si>
  <si>
    <t>Run-rate savings target</t>
  </si>
  <si>
    <t>Exit FY2027</t>
  </si>
  <si>
    <t>Reflected in management’s margin plan; not added on top</t>
  </si>
  <si>
    <t>The base LBO already ramps adjusted EBITDA margin to management’s 20% FY2028 target. That target includes the savings plan and other margin actions; adding $150M again would double count. The in-year savings schedule above is copied from management’s Investor Day plan.</t>
  </si>
  <si>
    <t>Illustrative 6% Base Case: revenue growth and AI upside are analyst assumptions, not company guidance</t>
  </si>
  <si>
    <t>Assumption</t>
  </si>
  <si>
    <t>5% Downside</t>
  </si>
  <si>
    <t>6% Base Case</t>
  </si>
  <si>
    <t>Basis</t>
  </si>
  <si>
    <t>Annual revenue growth, 2027–2031</t>
  </si>
  <si>
    <t>AI-enabled equipment wins, cross-sell, and service attachment; 6% is within management’s 5–7% 2025–28 outlook</t>
  </si>
  <si>
    <t>Incremental EBITDA margin from AI by 2031</t>
  </si>
  <si>
    <t>Ramps to 0.50 percentage points by 2031 after product, service, and engineering costs</t>
  </si>
  <si>
    <t>Incremental FCF converted to debt paydown</t>
  </si>
  <si>
    <t>Analyst estimate after tax, working capital, and capital spending</t>
  </si>
  <si>
    <t>Year</t>
  </si>
  <si>
    <t>Base revenue</t>
  </si>
  <si>
    <t>AI revenue growth</t>
  </si>
  <si>
    <t>AI revenue</t>
  </si>
  <si>
    <t>Base EBITDA margin</t>
  </si>
  <si>
    <t>AI margin uplift</t>
  </si>
  <si>
    <t>AI EBITDA</t>
  </si>
  <si>
    <t>Incremental EBITDA</t>
  </si>
  <si>
    <t>Incremental FCF to debt</t>
  </si>
  <si>
    <t>AI case term debt</t>
  </si>
  <si>
    <t>Return comparison</t>
  </si>
  <si>
    <t>2031 revenue</t>
  </si>
  <si>
    <t>AI scenario compounds 6% growth from the FY2026 guidance midpoint</t>
  </si>
  <si>
    <t>2031 adjusted EBITDA</t>
  </si>
  <si>
    <t>Base margin target plus AI margin ramp</t>
  </si>
  <si>
    <t>Exit enterprise value</t>
  </si>
  <si>
    <t>12.95x, same as entry</t>
  </si>
  <si>
    <t>Debt at exit</t>
  </si>
  <si>
    <t>AI case uses 70% of incremental FCF to repay term debt</t>
  </si>
  <si>
    <t>Exit equity proceeds</t>
  </si>
  <si>
    <t>Includes $50M cash and 3% exit fees</t>
  </si>
  <si>
    <t>Multiple on invested capital</t>
  </si>
  <si>
    <t>Same sponsor investment</t>
  </si>
  <si>
    <t>Annualized IRR</t>
  </si>
  <si>
    <t>Five-year hold; no interim distributions</t>
  </si>
  <si>
    <t>The AI case assumes growth rises to 6% per year and AI supports a 0.50-point EBITDA margin benefit by 2031. JBT Marel has published machine-vision and machine-learning examples, but has not disclosed a company-wide AI revenue or EBITDA target; this scenario is a testable hypothesis, not a forecast.</t>
  </si>
  <si>
    <t>Evidence / source</t>
  </si>
  <si>
    <t>What it supports</t>
  </si>
  <si>
    <t>Management margin bridge and synergy plan; AI-enabled equipment case study reports &gt;60% lower labor need for selected ATHENA tasks.</t>
  </si>
  <si>
    <t>JBT Marel AI article</t>
  </si>
  <si>
    <t>Task-specific machine-vision AI is already deployed in selected equipment; the company describes it as controlled and consistent.</t>
  </si>
  <si>
    <t>https://jbtmarel.com/en/news/a-different-kind-of-artificial-intelligence/</t>
  </si>
  <si>
    <t>Higher-growth stretch case (not management guidance)</t>
  </si>
  <si>
    <t>Base LBO</t>
  </si>
  <si>
    <t>Stretch case</t>
  </si>
  <si>
    <t>7% is the top end of management’s 2025–28 range, extended to 2031; this is deliberately ambitious</t>
  </si>
  <si>
    <t>Ramps to 1.00 percentage point by 2031; analyst assumption, not a company target</t>
  </si>
  <si>
    <t>Stretch revenue growth</t>
  </si>
  <si>
    <t>Stretch revenue</t>
  </si>
  <si>
    <t>Stretch EBITDA</t>
  </si>
  <si>
    <t>Stretch case term debt</t>
  </si>
  <si>
    <t>7% Stretch</t>
  </si>
  <si>
    <t>7% revenue growth compounded for five years</t>
  </si>
  <si>
    <t>20% base margin target plus AI margin ramp</t>
  </si>
  <si>
    <t>70% of incremental FCF used to repay term debt</t>
  </si>
  <si>
    <t>JBT Marel Corporation | 5% Downside LBO</t>
  </si>
  <si>
    <t>5% Downside Case | FY2027–FY2031 forecast | 5-year hold</t>
  </si>
  <si>
    <t>A</t>
  </si>
  <si>
    <t>E</t>
  </si>
  <si>
    <t>2026A</t>
  </si>
  <si>
    <t>OK</t>
  </si>
  <si>
    <t>JBT Marel Revenue Build | 5% Downside</t>
  </si>
  <si>
    <t>Reported and illustrative revenue history; the 2026 estimate is the LBO close baseline.</t>
  </si>
  <si>
    <t>5% annual revenue growth is an analyst scenario; the 20% FY2028 EBITDA margin target is management guidance. AI margin benefit is an analyst assumption where applicable.</t>
  </si>
  <si>
    <t>JBT Marel Corporation | 7% Stretch LBO</t>
  </si>
  <si>
    <t>7% Stretch Case | FY2027–FY2031 forecast | 5-year hold</t>
  </si>
  <si>
    <t>JBT Marel Revenue Build | 7% Stretch</t>
  </si>
  <si>
    <t>7% annual revenue growth is an analyst scenario; the 20% FY2028 EBITDA margin target is management guidance. AI margin benefit is an analyst assumption where applicable.</t>
  </si>
  <si>
    <t>JBT Marel Return Sensitivity</t>
  </si>
  <si>
    <t>MOIC and IRR at alternative exit EV / EBITDA multiples; each case uses its own modeled EBITDA, debt, cash, and sponsor equity.</t>
  </si>
  <si>
    <t>MOIC Sensitivity</t>
  </si>
  <si>
    <t>6% Base</t>
  </si>
  <si>
    <t>The 12.95x column holds the exit multiple at the modeled entry multiple; other columns show valuation sensitivity only.</t>
  </si>
  <si>
    <t>IRR Sensitivity</t>
  </si>
  <si>
    <t>Five-year hold, no interim sponsor distributions. Sensitivity is illustrative and assumes other operating assumptions stay fixed.</t>
  </si>
  <si>
    <t>JBT Marel | Investment Pitch Summary</t>
  </si>
  <si>
    <t>Approval draft | 6% Base Case | Five-year illustrative buyout model | $ in millions unless noted</t>
  </si>
  <si>
    <t>The pitch in one minute</t>
  </si>
  <si>
    <t>Buy a global food-processing equipment and software platform whose machines are important to large food producers. Improve the combined JBT and Marel business by completing the already-announced cost-savings plan, applying AI-enabled vision and automation where it improves customers’ yield and labor productivity, and cross-selling a broader product line. The Base Case assumes 6% annual revenue growth, modest AI-related margin improvement, and debt paydown over five years. The case does not depend on acquiring more companies or expanding the exit valuation multiple.</t>
  </si>
  <si>
    <t>Why this company could matter</t>
  </si>
  <si>
    <t>What JBT Marel does</t>
  </si>
  <si>
    <t>Builds equipment, software and service systems used to process poultry, meat, fish, prepared foods and beverages.</t>
  </si>
  <si>
    <t>Why customers care</t>
  </si>
  <si>
    <t>A production-line outage or poor yield can cost a processor time and product. Integrated equipment, service, traceability and uptime are valuable in high-volume plants.</t>
  </si>
  <si>
    <t>Why people may care</t>
  </si>
  <si>
    <t>Consumers may not recognize the JBT Marel name, but food processors rely on its systems to help produce food at scale. The company is a behind-the-scenes food-supply-chain provider.</t>
  </si>
  <si>
    <t>Why it fits an LBO</t>
  </si>
  <si>
    <t>The merger creates a concrete integration and savings plan; the company reports recurring service revenue and meaningful free cash flow, supporting debt reduction.</t>
  </si>
  <si>
    <t>What the numbers mean and what the sponsor can influence</t>
  </si>
  <si>
    <t>Metric / assumption</t>
  </si>
  <si>
    <t>Plain-English meaning</t>
  </si>
  <si>
    <t>Case input / output</t>
  </si>
  <si>
    <t>What we can do or why it matters</t>
  </si>
  <si>
    <t>How quickly annual sales increase.</t>
  </si>
  <si>
    <t>6% a year in Base; 5% downside; 7% stretch.</t>
  </si>
  <si>
    <t>Sell more integrated lines, cross-sell the combined product range, expand service and aftermarket sales. Only 5–7% through 2028 is company guidance; extending the rates through 2031 is our assumption.</t>
  </si>
  <si>
    <t>Operating profit before interest, taxes, depreciation and amortization as a share of sales.</t>
  </si>
  <si>
    <t>20.0% FY2028 management target; Base rises to 20.5% by 2031 including AI uplift.</t>
  </si>
  <si>
    <t>Complete synergies, improve procurement and factory efficiency, and scale services/software.</t>
  </si>
  <si>
    <t>AI margin lift</t>
  </si>
  <si>
    <t>Extra EBITDA margin beyond the base plan attributed to AI-related product and operating improvements.</t>
  </si>
  <si>
    <t>Base: ramps to +0.50 percentage points by 2031; Stretch: +1.00 point.</t>
  </si>
  <si>
    <t>Analyst assumption, not management guidance or a reported company-wide AI saving. Track with measured pilot results before increasing it.</t>
  </si>
  <si>
    <t>Cash flow to debt paydown</t>
  </si>
  <si>
    <t>Cash generated after operations, interest, tax, working capital and capital spending that reduces acquisition debt.</t>
  </si>
  <si>
    <t>70% of incremental EBITDA converted into debt paydown in the AI case.</t>
  </si>
  <si>
    <t>This is a modeling estimate, not a company promise. The full model also retains the template’s cash-flow and mandatory amortization mechanics.</t>
  </si>
  <si>
    <t>Entry EV / EBITDA</t>
  </si>
  <si>
    <t>Purchase price of the whole company divided by its annual operating profit.</t>
  </si>
  <si>
    <t>12.95x in the model.</t>
  </si>
  <si>
    <t>Based on the illustrative entry price and EBITDA inputs in the model.</t>
  </si>
  <si>
    <t>Exit EV / EBITDA</t>
  </si>
  <si>
    <t>Sale price divided by EBITDA in the fifth year.</t>
  </si>
  <si>
    <t>No multiple expansion is required for the Base Case; keeping this flat is an assumption, not a prediction.</t>
  </si>
  <si>
    <t>MOIC</t>
  </si>
  <si>
    <t>Total sponsor proceeds divided by the sponsor’s initial investment.</t>
  </si>
  <si>
    <t>A 2.0x MOIC means $2 back for every $1 invested, before considering timing.</t>
  </si>
  <si>
    <t>IRR</t>
  </si>
  <si>
    <t>Annualized return, accounting for the five-year hold.</t>
  </si>
  <si>
    <t>A higher MOIC does not automatically mean a higher IRR if it takes longer to earn.</t>
  </si>
  <si>
    <t>Case</t>
  </si>
  <si>
    <t>2031 EBITDA ($M)</t>
  </si>
  <si>
    <t>Sponsor return</t>
  </si>
  <si>
    <t>EBITDA margin</t>
  </si>
  <si>
    <t>Company-reported savings plan and what the model does with it</t>
  </si>
  <si>
    <t>Reported milestone</t>
  </si>
  <si>
    <t>Company figure</t>
  </si>
  <si>
    <t>Model treatment / explanation</t>
  </si>
  <si>
    <t>How we would execute after acquisition</t>
  </si>
  <si>
    <t>FY2025 synergy savings realized</t>
  </si>
  <si>
    <t>$43M year-over-year</t>
  </si>
  <si>
    <t>Reported by JBT Marel; historical result.</t>
  </si>
  <si>
    <t>1. Centralize duplicate purchasing, suppliers and selected corporate work while protecting customer service.</t>
  </si>
  <si>
    <t>Annualized savings exiting FY2025</t>
  </si>
  <si>
    <t>$85M run-rate</t>
  </si>
  <si>
    <t>Company said this was achieved as it exited 2025.</t>
  </si>
  <si>
    <t>2. Finish footprint and operating-process improvements already identified by management; measure cash restructuring costs against savings.</t>
  </si>
  <si>
    <t>FY2026 synergy savings expectation</t>
  </si>
  <si>
    <t>~$60M in-year realized savings</t>
  </si>
  <si>
    <t>Management reaffirmed this expectation in its Q2 2026 release.</t>
  </si>
  <si>
    <t>3. Cross-sell full production lines, aftermarket service and software through the combined global customer base.</t>
  </si>
  <si>
    <t>Annualized cost-synergy target exiting FY2027</t>
  </si>
  <si>
    <t>$150M run-rate</t>
  </si>
  <si>
    <t>Management’s target; includes planned OPEX and COGS actions. It is not an additional $150M each year.</t>
  </si>
  <si>
    <t>4. Expand machine-vision and AI features where trials prove better yield, less rework, higher uptime or less manual work.</t>
  </si>
  <si>
    <t>FY2025–FY2028 in-year synergy plan</t>
  </si>
  <si>
    <t>$43M; ~$60M; $30–40M; $10–15M</t>
  </si>
  <si>
    <t>Investor Day breakdown; model margin path already reflects the synergy plan, so savings are not separately added to EBITDA.</t>
  </si>
  <si>
    <t>5. Use plant data and predictive maintenance to improve service response and prevent avoidable customer downtime; treat this as an opportunity to validate, not booked savings.</t>
  </si>
  <si>
    <t>Revenue synergies through FY2027</t>
  </si>
  <si>
    <t>$75M cumulative target</t>
  </si>
  <si>
    <t>Separate from cost synergies; do not treat this as annual EBITDA or cost savings.</t>
  </si>
  <si>
    <t>6. Reinvest only where customer payback is measurable; direct available cash to debt reduction under the LBO plan.</t>
  </si>
  <si>
    <t>AI evidence and what it does (and does not) prove</t>
  </si>
  <si>
    <t>Evidence</t>
  </si>
  <si>
    <t>Limit / how to use it in the pitch</t>
  </si>
  <si>
    <t>ATHENA poultry deboning case: machine-learning vision is used to adapt deboning to each product.</t>
  </si>
  <si>
    <t>JBT Marel’s Investor Day reports &gt;60% lower labor requirements for loading, harvesting and trimming in one customer application.</t>
  </si>
  <si>
    <t>This is a specific customer case, not a company-wide labor reduction or JBT Marel margin improvement.</t>
  </si>
  <si>
    <t>Company AI article describes task-specific vision models deployed in machine software.</t>
  </si>
  <si>
    <t>AI can identify features and improve consistency; JBT Marel says reusable models can reduce engineering hours.</t>
  </si>
  <si>
    <t>The company says it applies AI selectively; it does not say every machine uses AI.</t>
  </si>
  <si>
    <t>Customer benefit can include higher yield, less trimming/rework, consistent quality and throughput.</t>
  </si>
  <si>
    <t>A stronger value proposition may support new equipment wins, upgrades, service attachment and customer retention.</t>
  </si>
  <si>
    <t>Incremental revenue and EBITDA from these effects have not been quantified in company guidance.</t>
  </si>
  <si>
    <t>Analyst case assumes 0.5-point incremental EBITDA-margin benefit by 2031 in Base.</t>
  </si>
  <si>
    <t>A transparent upside test for the LBO model.</t>
  </si>
  <si>
    <t>Keep separate from the confirmed $150M merger savings plan; do not double count.</t>
  </si>
  <si>
    <t>Main risks and honest pitch framing</t>
  </si>
  <si>
    <t>Integration risk</t>
  </si>
  <si>
    <t>Synergies may arrive later, cost more, or be offset by cost inflation and tariffs.</t>
  </si>
  <si>
    <t>Growth risk</t>
  </si>
  <si>
    <t>2025 growth includes the merger and FY2026 guidance includes FX; 6% for five forecast years is not guaranteed.</t>
  </si>
  <si>
    <t>AI risk</t>
  </si>
  <si>
    <t>The product examples prove use and customer benefits in specific applications; they do not prove a large, rapid company-wide EBITDA gain.</t>
  </si>
  <si>
    <t>Valuation risk</t>
  </si>
  <si>
    <t>The model holds the exit multiple at the entry multiple. A buyer may pay less if growth, margins or market conditions disappoint.</t>
  </si>
  <si>
    <t>Suggested honest pitch</t>
  </si>
  <si>
    <t>This is an integration-and-operational-improvement case with an AI-enabled product upside—not a bet that AI alone will transform earnings. The downside model is there to show what happens if growth is slower.</t>
  </si>
  <si>
    <t>Sources used in this summary</t>
  </si>
  <si>
    <t>Supports</t>
  </si>
  <si>
    <t>URL</t>
  </si>
  <si>
    <t>JBT Marel Investor Day, March 26, 2026</t>
  </si>
  <si>
    <t>ATHENA customer case; $85M run-rate savings exiting 2025, $150M target exiting 2027; detailed synergy bridge; 2028 margin target.</t>
  </si>
  <si>
    <t>https://ir.jbtmarel.com/sec-filings/all-sec-filings/content/0001433660-26-000071/exhibit991-jbtmarel2026i.htm</t>
  </si>
  <si>
    <t>JBT Marel FY2025 results, February 23, 2026</t>
  </si>
  <si>
    <t>FY2025 $43M savings; $85M exit run-rate; ~$60M FY2026 expected savings; 2026 5–7% revenue outlook; 2025 recurring mix and cash flow.</t>
  </si>
  <si>
    <t>https://ir.jbtmarel.com/news/press-releases/detail/530/jbt-marel-corporation-reports-fourth-quarter-and-full-year-2025-results-and-establishes-2026-guidance-with-continued-growth</t>
  </si>
  <si>
    <t>JBT Marel AI article, June 16, 2026</t>
  </si>
  <si>
    <t>Company description of task-specific AI / machine vision in deployed food-processing equipment and selective application.</t>
  </si>
  <si>
    <t>JBT Marel 2025 Annual Report</t>
  </si>
  <si>
    <t>Annual cost synergies and integration risks; use company filings for risk framing.</t>
  </si>
  <si>
    <t>https://ir.jbtmarel.com/sec-filings/all-sec-filings/content/0001104659-26-038617/0001104659-26-038617.pdf</t>
  </si>
  <si>
    <t>JBT Marel Q2 2026 results, August 3, 2026</t>
  </si>
  <si>
    <t>Latest company confirmation of $60M FY2026 in-year synergy savings expectation and 2026 outlook.</t>
  </si>
  <si>
    <t>https://ir.jbtmarel.com/news/press-releases/detail/540/jbt-marel-corporation-reports-second-quarter-2026-results</t>
  </si>
  <si>
    <t>All forward-looking targets remain subject to execution and market risks. “Adjusted EBITDA” and margin are non-GAAP; see company reconciliations. The LBO is illustrative, and analyst assumptions are labeled separately from management guidance.</t>
  </si>
  <si>
    <t>Cash investment and working capital assumptions</t>
  </si>
  <si>
    <t>Item</t>
  </si>
  <si>
    <t>Company data / model treatment</t>
  </si>
  <si>
    <t>Capital spending (CapEx)</t>
  </si>
  <si>
    <t>Management expects 3.0–3.5% of sales; 2025 was about $104M on $3.8B sales (~2.7%).</t>
  </si>
  <si>
    <t>Money used for equipment, facilities and technology. This is below the competition’s 5% ceiling; the LBO deducts it before debt paydown.</t>
  </si>
  <si>
    <t>Working capital</t>
  </si>
  <si>
    <t>Management estimates net working capital at 6–7% of sales, partly because customers often pay in advance.</t>
  </si>
  <si>
    <t>Cash tied up in receivables, inventory and payables. Better inventory turns can release cash, but the model does not assume extra inventory savings beyond its working-capital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</si>
</sst>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164" formatCode="\$#,##0.0_);&quot;($&quot;#,##0.0\);&quot;$--&quot;_)"/>
    <numFmt numFmtId="165" formatCode="###0_);\(###0\);&quot;--&quot;_)"/>
    <numFmt numFmtId="166" formatCode="0.0%_);\(0.0%\);&quot;--&quot;_)"/>
    <numFmt numFmtId="167" formatCode="0.00\x"/>
    <numFmt numFmtId="168" formatCode="\$#,##0.00_);&quot;($&quot;#,##0.00\);&quot;$--&quot;_)"/>
    <numFmt numFmtId="169" formatCode="#,##0.0_);\(#,##0.0\);&quot;--&quot;_)"/>
    <numFmt numFmtId="170" formatCode="#,##0_);\(#,##0\);&quot;--&quot;_)"/>
    <numFmt numFmtId="171" formatCode="0.0\x_);\(0.0&quot;x)&quot;;&quot;--&quot;_)"/>
    <numFmt numFmtId="172" formatCode="0.000%_);\(0.000%\);&quot;--&quot;_)"/>
    <numFmt numFmtId="173" formatCode="###&quot; years&quot;"/>
    <numFmt numFmtId="174" formatCode="&quot;S + &quot;###"/>
    <numFmt numFmtId="175" formatCode="\$#,##0.0_);&quot;($&quot;#,##0.0\)"/>
    <numFmt numFmtId="176" formatCode="\$#,##0_);&quot;($&quot;#,##0\);&quot;$--&quot;_)"/>
    <numFmt numFmtId="177" formatCode="&quot;Year &quot;###"/>
    <numFmt numFmtId="178" formatCode="0.000%"/>
    <numFmt numFmtId="179" formatCode="\$#,##0.0;[Red]&quot;($&quot;#,##0.0\);\-"/>
    <numFmt numFmtId="180" formatCode="m/d/yyyy"/>
    <numFmt numFmtId="181" formatCode="0.00\x_);\(0.00&quot;x)&quot;;&quot;--&quot;_)"/>
    <numFmt numFmtId="182" formatCode="0.000000;[Red]\(0.000000\);\-"/>
    <numFmt numFmtId="183" formatCode="#,##0.0;\(#,##0.0\);\-"/>
    <numFmt numFmtId="184" formatCode="0.0%;\(0.0%\);\-"/>
    <numFmt numFmtId="185" formatCode="0.00%;\(0.00%\);\-"/>
    <numFmt numFmtId="186" formatCode="0%;\(0%\);\-"/>
    <numFmt numFmtId="187" formatCode="0.0%"/>
    <numFmt numFmtId="188" formatCode="\$#,##0.0"/>
  </numFmts>
  <fonts count="38" x14ac:knownFonts="1">
    <font>
      <sz val="10"/>
      <name val="Arial"/>
      <family val="2"/>
    </font>
    <font>
      <sz val="10"/>
      <name val="Arial"/>
      <family val="2"/>
    </font>
    <font>
      <sz val="10"/>
      <color theme="1"/>
      <name val="Calibri"/>
      <family val="2"/>
    </font>
    <font>
      <b/>
      <sz val="16"/>
      <color rgb="FFFFFFFF"/>
      <name val="Arial"/>
      <family val="2"/>
    </font>
    <font>
      <i/>
      <sz val="10"/>
      <color rgb="FF000000"/>
      <name val="Arial"/>
      <family val="2"/>
    </font>
    <font>
      <sz val="11"/>
      <color theme="1"/>
      <name val="Arial"/>
      <family val="2"/>
    </font>
    <font>
      <b/>
      <sz val="10"/>
      <color rgb="FFFFFFFF"/>
      <name val="Arial"/>
      <family val="2"/>
    </font>
    <font>
      <sz val="10"/>
      <color rgb="FF000000"/>
      <name val="Arial"/>
      <family val="2"/>
      <charset val="1"/>
    </font>
    <font>
      <b/>
      <sz val="10"/>
      <color rgb="FF000000"/>
      <name val="Arial"/>
      <family val="2"/>
      <charset val="1"/>
    </font>
    <font>
      <b/>
      <sz val="10"/>
      <color rgb="FF0000FF"/>
      <name val="Arial"/>
      <family val="2"/>
      <charset val="1"/>
    </font>
    <font>
      <sz val="10"/>
      <color rgb="FF000000"/>
      <name val="Arial"/>
      <family val="2"/>
    </font>
    <font>
      <b/>
      <sz val="10"/>
      <color rgb="FF000000"/>
      <name val="Calibri"/>
      <family val="2"/>
    </font>
    <font>
      <b/>
      <sz val="10"/>
      <color rgb="FFFFFFFF"/>
      <name val="Calibri"/>
      <family val="2"/>
    </font>
    <font>
      <i/>
      <sz val="10"/>
      <color theme="1"/>
      <name val="Calibri"/>
      <family val="2"/>
    </font>
    <font>
      <i/>
      <sz val="10"/>
      <color rgb="FF000000"/>
      <name val="Calibri"/>
      <family val="2"/>
    </font>
    <font>
      <b/>
      <sz val="10"/>
      <color theme="0"/>
      <name val="Calibri"/>
      <family val="2"/>
    </font>
    <font>
      <b/>
      <i/>
      <sz val="10"/>
      <color theme="1"/>
      <name val="Calibri"/>
      <family val="2"/>
    </font>
    <font>
      <b/>
      <sz val="10"/>
      <color theme="1"/>
      <name val="Calibri"/>
      <family val="2"/>
    </font>
    <font>
      <sz val="10"/>
      <color rgb="FF0000FF"/>
      <name val="Calibri"/>
      <family val="2"/>
    </font>
    <font>
      <sz val="10"/>
      <color rgb="FF000000"/>
      <name val="Calibri"/>
      <family val="2"/>
    </font>
    <font>
      <b/>
      <sz val="10"/>
      <name val="Calibri"/>
      <family val="2"/>
    </font>
    <font>
      <sz val="10"/>
      <name val="Calibri"/>
      <family val="2"/>
    </font>
    <font>
      <sz val="10"/>
      <color rgb="FF666666"/>
      <name val="Calibri"/>
      <family val="2"/>
    </font>
    <font>
      <i/>
      <sz val="10"/>
      <name val="Calibri"/>
      <family val="2"/>
    </font>
    <font>
      <b/>
      <sz val="10"/>
      <name val="Arial"/>
      <family val="2"/>
    </font>
    <font>
      <i/>
      <sz val="10"/>
      <color rgb="FF666666"/>
      <name val="Calibri"/>
      <family val="2"/>
    </font>
    <font>
      <i/>
      <sz val="10"/>
      <color rgb="FF404040"/>
      <name val="Arial"/>
      <family val="2"/>
    </font>
    <font>
      <sz val="10"/>
      <color rgb="FF202020"/>
      <name val="Arial"/>
      <family val="2"/>
    </font>
    <font>
      <b/>
      <sz val="10"/>
      <color rgb="FF202020"/>
      <name val="Arial"/>
      <family val="2"/>
    </font>
    <font>
      <sz val="10"/>
      <color rgb="FF404040"/>
      <name val="Arial"/>
      <family val="2"/>
    </font>
    <font>
      <sz val="9"/>
      <color rgb="FF1F1F1F"/>
      <name val="Arial"/>
      <family val="2"/>
    </font>
    <font>
      <sz val="9"/>
      <color rgb="FF404040"/>
      <name val="Arial"/>
      <family val="2"/>
    </font>
    <font>
      <b/>
      <sz val="14"/>
      <color rgb="FFFFFFFF"/>
      <name val="Arial"/>
      <family val="2"/>
    </font>
    <font>
      <b/>
      <sz val="10"/>
      <color rgb="FF17365D"/>
      <name val="Arial"/>
      <family val="2"/>
    </font>
    <font>
      <i/>
      <sz val="9"/>
      <color rgb="FF595959"/>
      <name val="Arial"/>
      <family val="2"/>
    </font>
    <font>
      <b/>
      <sz val="11"/>
      <color rgb="FFFFFFFF"/>
      <name val="Arial"/>
      <family val="2"/>
    </font>
    <font>
      <sz val="11"/>
      <color rgb="FF222222"/>
      <name val="Arial"/>
      <family val="2"/>
    </font>
    <font>
      <sz val="9"/>
      <color rgb="FF0563C1"/>
      <name val="Arial"/>
      <family val="2"/>
    </font>
  </fonts>
  <fills count="12">
    <fill>
      <patternFill patternType="none"/>
    </fill>
    <fill>
      <patternFill patternType="gray125"/>
    </fill>
    <fill>
      <patternFill patternType="solid">
        <fgColor rgb="FF1F4E78"/>
        <bgColor rgb="FF1F4E79"/>
      </patternFill>
    </fill>
    <fill>
      <patternFill patternType="solid">
        <fgColor rgb="FFD9EAF7"/>
        <bgColor rgb="FFE7E6E6"/>
      </patternFill>
    </fill>
    <fill>
      <patternFill patternType="solid">
        <fgColor rgb="FFFFFFFF"/>
        <bgColor rgb="FFF2F2F2"/>
      </patternFill>
    </fill>
    <fill>
      <patternFill patternType="solid">
        <fgColor theme="8" tint="-0.499984740745262"/>
        <bgColor rgb="FF1F4E78"/>
      </patternFill>
    </fill>
    <fill>
      <patternFill patternType="solid">
        <fgColor theme="0" tint="-4.9989318521683403E-2"/>
        <bgColor rgb="FFEAF2F8"/>
      </patternFill>
    </fill>
    <fill>
      <patternFill patternType="solid">
        <fgColor theme="7" tint="0.79989013336588644"/>
        <bgColor rgb="FFF2F2F2"/>
      </patternFill>
    </fill>
    <fill>
      <patternFill patternType="solid">
        <fgColor theme="0" tint="-0.14999847407452621"/>
        <bgColor rgb="FFE7E6E6"/>
      </patternFill>
    </fill>
    <fill>
      <patternFill patternType="solid">
        <fgColor rgb="FFE7E6E6"/>
        <bgColor rgb="FFD9EAF7"/>
      </patternFill>
    </fill>
    <fill>
      <patternFill patternType="solid">
        <fgColor rgb="FF17365D"/>
        <bgColor rgb="FF1F4E78"/>
      </patternFill>
    </fill>
    <fill>
      <patternFill patternType="solid">
        <fgColor rgb="FFEAF2F8"/>
        <bgColor rgb="FFF2F2F2"/>
      </patternFill>
    </fill>
  </fills>
  <borders count="31">
    <border>
      <left/>
      <right/>
      <top/>
      <bottom/>
      <diagonal/>
    </border>
    <border>
      <left style="thin">
        <color rgb="FFB4C7E7"/>
      </left>
      <right style="thin">
        <color rgb="FFB4C7E7"/>
      </right>
      <top style="thin">
        <color rgb="FFB4C7E7"/>
      </top>
      <bottom style="thin">
        <color rgb="FFB4C7E7"/>
      </bottom>
      <diagonal/>
    </border>
    <border>
      <left style="thin">
        <color rgb="FFB4C6E7"/>
      </left>
      <right style="thin">
        <color rgb="FFB4C6E7"/>
      </right>
      <top style="thin">
        <color rgb="FFB4C6E7"/>
      </top>
      <bottom style="thin">
        <color rgb="FFB4C6E7"/>
      </bottom>
      <diagonal/>
    </border>
    <border>
      <left style="thin">
        <color rgb="FF1F4E78"/>
      </left>
      <right style="thin">
        <color rgb="FF1F4E78"/>
      </right>
      <top style="thin">
        <color rgb="FF1F4E78"/>
      </top>
      <bottom style="thin">
        <color rgb="FF1F4E78"/>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style="thin">
        <color auto="1"/>
      </top>
      <bottom/>
      <diagonal/>
    </border>
    <border>
      <left/>
      <right style="thin">
        <color theme="0" tint="-0.14999847407452621"/>
      </right>
      <top style="thin">
        <color auto="1"/>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top style="thin">
        <color auto="1"/>
      </top>
      <bottom style="thin">
        <color auto="1"/>
      </bottom>
      <diagonal/>
    </border>
    <border>
      <left style="thin">
        <color theme="0" tint="-0.14999847407452621"/>
      </left>
      <right/>
      <top style="thin">
        <color auto="1"/>
      </top>
      <bottom style="thin">
        <color auto="1"/>
      </bottom>
      <diagonal/>
    </border>
    <border>
      <left style="thin">
        <color auto="1"/>
      </left>
      <right/>
      <top style="thin">
        <color auto="1"/>
      </top>
      <bottom style="thin">
        <color theme="0" tint="-0.14999847407452621"/>
      </bottom>
      <diagonal/>
    </border>
    <border>
      <left/>
      <right style="thin">
        <color auto="1"/>
      </right>
      <top style="thin">
        <color auto="1"/>
      </top>
      <bottom style="thin">
        <color theme="0" tint="-0.14999847407452621"/>
      </bottom>
      <diagonal/>
    </border>
    <border>
      <left style="thin">
        <color auto="1"/>
      </left>
      <right/>
      <top style="thin">
        <color theme="0" tint="-0.14999847407452621"/>
      </top>
      <bottom style="thin">
        <color auto="1"/>
      </bottom>
      <diagonal/>
    </border>
    <border>
      <left/>
      <right style="thin">
        <color auto="1"/>
      </right>
      <top style="thin">
        <color theme="0" tint="-0.14999847407452621"/>
      </top>
      <bottom style="thin">
        <color auto="1"/>
      </bottom>
      <diagonal/>
    </border>
    <border>
      <left/>
      <right/>
      <top/>
      <bottom style="double">
        <color rgb="FF1F4E78"/>
      </bottom>
      <diagonal/>
    </border>
  </borders>
  <cellStyleXfs count="5">
    <xf numFmtId="0" fontId="0" fillId="0" borderId="0"/>
    <xf numFmtId="0" fontId="1" fillId="0" borderId="0"/>
    <xf numFmtId="0" fontId="1" fillId="0" borderId="0"/>
    <xf numFmtId="0" fontId="2" fillId="0" borderId="0"/>
    <xf numFmtId="0" fontId="1" fillId="0" borderId="0"/>
  </cellStyleXfs>
  <cellXfs count="222">
    <xf numFmtId="0" fontId="0" fillId="0" borderId="0" xfId="0"/>
    <xf numFmtId="0" fontId="13" fillId="0" borderId="0" xfId="1" applyFont="1" applyAlignment="1">
      <alignment vertical="center"/>
    </xf>
    <xf numFmtId="0" fontId="11" fillId="0" borderId="3" xfId="3" applyFont="1" applyBorder="1" applyAlignment="1">
      <alignment horizontal="center" vertical="center" wrapText="1"/>
    </xf>
    <xf numFmtId="0" fontId="12" fillId="2" borderId="0" xfId="3" applyFont="1" applyFill="1" applyAlignment="1">
      <alignment horizontal="center" vertical="center" wrapText="1"/>
    </xf>
    <xf numFmtId="0" fontId="11" fillId="0" borderId="0" xfId="3" applyFont="1" applyAlignment="1">
      <alignment horizontal="left" vertical="center" wrapText="1"/>
    </xf>
    <xf numFmtId="0" fontId="10" fillId="4" borderId="2" xfId="2" applyFont="1" applyFill="1" applyBorder="1" applyAlignment="1">
      <alignment horizontal="left" vertical="top" wrapText="1"/>
    </xf>
    <xf numFmtId="0" fontId="6" fillId="2" borderId="1" xfId="2" applyFont="1" applyFill="1" applyBorder="1" applyAlignment="1">
      <alignment horizontal="left" vertical="center"/>
    </xf>
    <xf numFmtId="0" fontId="8" fillId="4" borderId="2" xfId="2" applyFont="1" applyFill="1" applyBorder="1" applyAlignment="1">
      <alignment horizontal="left" vertical="top" wrapText="1"/>
    </xf>
    <xf numFmtId="0" fontId="6" fillId="2" borderId="0" xfId="2" applyFont="1" applyFill="1" applyAlignment="1">
      <alignment horizontal="left" vertical="center"/>
    </xf>
    <xf numFmtId="0" fontId="8" fillId="4" borderId="1" xfId="3" applyFont="1" applyFill="1" applyBorder="1" applyAlignment="1">
      <alignment vertical="top" wrapText="1"/>
    </xf>
    <xf numFmtId="0" fontId="9" fillId="4" borderId="1" xfId="3" applyFont="1" applyFill="1" applyBorder="1" applyAlignment="1">
      <alignment vertical="top" wrapText="1"/>
    </xf>
    <xf numFmtId="0" fontId="7" fillId="4" borderId="1" xfId="3" applyFont="1" applyFill="1" applyBorder="1" applyAlignment="1">
      <alignment vertical="top" wrapText="1"/>
    </xf>
    <xf numFmtId="0" fontId="6" fillId="2" borderId="0" xfId="3" applyFont="1" applyFill="1" applyAlignment="1">
      <alignment horizontal="left" vertical="center"/>
    </xf>
    <xf numFmtId="0" fontId="4" fillId="3" borderId="0" xfId="3" applyFont="1" applyFill="1" applyAlignment="1">
      <alignment horizontal="left" vertical="center"/>
    </xf>
    <xf numFmtId="0" fontId="3" fillId="2" borderId="0" xfId="3" applyFont="1" applyFill="1" applyAlignment="1">
      <alignment horizontal="left" vertical="center"/>
    </xf>
    <xf numFmtId="0" fontId="1" fillId="0" borderId="0" xfId="4"/>
    <xf numFmtId="0" fontId="5" fillId="0" borderId="0" xfId="3" applyFont="1"/>
    <xf numFmtId="0" fontId="10" fillId="4" borderId="1" xfId="3" applyFont="1" applyFill="1" applyBorder="1" applyAlignment="1">
      <alignment vertical="top" wrapText="1"/>
    </xf>
    <xf numFmtId="0" fontId="2" fillId="0" borderId="0" xfId="3" applyAlignment="1">
      <alignment vertical="center"/>
    </xf>
    <xf numFmtId="0" fontId="13" fillId="0" borderId="0" xfId="1" applyFont="1" applyAlignment="1">
      <alignment vertical="center"/>
    </xf>
    <xf numFmtId="0" fontId="13" fillId="0" borderId="0" xfId="1" applyFont="1" applyAlignment="1">
      <alignment horizontal="center" vertical="center"/>
    </xf>
    <xf numFmtId="0" fontId="14" fillId="0" borderId="0" xfId="1" applyFont="1" applyAlignment="1">
      <alignment horizontal="center" vertical="center"/>
    </xf>
    <xf numFmtId="0" fontId="2" fillId="0" borderId="5" xfId="1" applyFont="1" applyBorder="1" applyAlignment="1">
      <alignment vertical="center"/>
    </xf>
    <xf numFmtId="0" fontId="18" fillId="7" borderId="6" xfId="1" applyFont="1" applyFill="1" applyBorder="1" applyAlignment="1">
      <alignment horizontal="right" vertical="center"/>
    </xf>
    <xf numFmtId="164" fontId="18" fillId="7" borderId="6" xfId="1" applyNumberFormat="1" applyFont="1" applyFill="1" applyBorder="1" applyAlignment="1">
      <alignment vertical="center"/>
    </xf>
    <xf numFmtId="165" fontId="19" fillId="0" borderId="6" xfId="1" applyNumberFormat="1" applyFont="1" applyBorder="1" applyAlignment="1">
      <alignment horizontal="right" vertical="center"/>
    </xf>
    <xf numFmtId="166" fontId="18" fillId="7" borderId="6" xfId="1" applyNumberFormat="1" applyFont="1" applyFill="1" applyBorder="1" applyAlignment="1">
      <alignment vertical="center"/>
    </xf>
    <xf numFmtId="167" fontId="18" fillId="7" borderId="6" xfId="1" applyNumberFormat="1" applyFont="1" applyFill="1" applyBorder="1" applyAlignment="1">
      <alignment vertical="center"/>
    </xf>
    <xf numFmtId="0" fontId="2" fillId="0" borderId="5" xfId="1" applyFont="1" applyBorder="1" applyAlignment="1">
      <alignment horizontal="left" vertical="center"/>
    </xf>
    <xf numFmtId="168" fontId="18" fillId="7" borderId="6" xfId="1" applyNumberFormat="1" applyFont="1" applyFill="1" applyBorder="1" applyAlignment="1">
      <alignment vertical="center"/>
    </xf>
    <xf numFmtId="0" fontId="2" fillId="0" borderId="7" xfId="1" applyFont="1" applyBorder="1" applyAlignment="1">
      <alignment vertical="center"/>
    </xf>
    <xf numFmtId="0" fontId="2" fillId="0" borderId="8" xfId="1" applyFont="1" applyBorder="1" applyAlignment="1">
      <alignment vertical="center"/>
    </xf>
    <xf numFmtId="166" fontId="18" fillId="7" borderId="9" xfId="1" applyNumberFormat="1" applyFont="1" applyFill="1" applyBorder="1" applyAlignment="1">
      <alignment vertical="center"/>
    </xf>
    <xf numFmtId="0" fontId="18" fillId="7" borderId="0" xfId="3" applyFont="1" applyFill="1" applyAlignment="1">
      <alignment horizontal="right" vertical="center"/>
    </xf>
    <xf numFmtId="0" fontId="17" fillId="0" borderId="10" xfId="1" applyFont="1" applyBorder="1" applyAlignment="1">
      <alignment vertical="center"/>
    </xf>
    <xf numFmtId="168" fontId="20" fillId="0" borderId="11" xfId="1" applyNumberFormat="1" applyFont="1" applyBorder="1" applyAlignment="1">
      <alignment vertical="center"/>
    </xf>
    <xf numFmtId="169" fontId="18" fillId="7" borderId="6" xfId="1" applyNumberFormat="1" applyFont="1" applyFill="1" applyBorder="1" applyAlignment="1">
      <alignment vertical="center"/>
    </xf>
    <xf numFmtId="170" fontId="18" fillId="7" borderId="9" xfId="1" applyNumberFormat="1" applyFont="1" applyFill="1" applyBorder="1" applyAlignment="1">
      <alignment vertical="center"/>
    </xf>
    <xf numFmtId="0" fontId="17" fillId="0" borderId="12" xfId="1" applyFont="1" applyBorder="1" applyAlignment="1">
      <alignment vertical="center"/>
    </xf>
    <xf numFmtId="164" fontId="17" fillId="0" borderId="13" xfId="1" applyNumberFormat="1" applyFont="1" applyBorder="1" applyAlignment="1">
      <alignment vertical="center"/>
    </xf>
    <xf numFmtId="0" fontId="17" fillId="0" borderId="14" xfId="1" applyFont="1" applyBorder="1" applyAlignment="1">
      <alignment vertical="center"/>
    </xf>
    <xf numFmtId="166" fontId="17" fillId="0" borderId="11" xfId="1" applyNumberFormat="1" applyFont="1" applyBorder="1" applyAlignment="1">
      <alignment vertical="center"/>
    </xf>
    <xf numFmtId="164" fontId="18" fillId="7" borderId="9" xfId="1" applyNumberFormat="1" applyFont="1" applyFill="1" applyBorder="1" applyAlignment="1">
      <alignment vertical="center"/>
    </xf>
    <xf numFmtId="0" fontId="2" fillId="0" borderId="7" xfId="1" applyFont="1" applyBorder="1" applyAlignment="1">
      <alignment horizontal="left" vertical="center"/>
    </xf>
    <xf numFmtId="171" fontId="2" fillId="0" borderId="9" xfId="1" applyNumberFormat="1" applyFont="1" applyBorder="1" applyAlignment="1">
      <alignment vertical="center"/>
    </xf>
    <xf numFmtId="0" fontId="17" fillId="0" borderId="0" xfId="1" applyFont="1" applyAlignment="1">
      <alignment horizontal="left" vertical="center"/>
    </xf>
    <xf numFmtId="0" fontId="17" fillId="0" borderId="0" xfId="1" applyFont="1" applyAlignment="1">
      <alignment horizontal="center" vertical="center"/>
    </xf>
    <xf numFmtId="0" fontId="2" fillId="0" borderId="0" xfId="1" applyFont="1" applyAlignment="1">
      <alignment vertical="center"/>
    </xf>
    <xf numFmtId="164" fontId="18" fillId="7" borderId="0" xfId="1" applyNumberFormat="1" applyFont="1" applyFill="1" applyAlignment="1">
      <alignment vertical="center"/>
    </xf>
    <xf numFmtId="171" fontId="2" fillId="0" borderId="0" xfId="1" applyNumberFormat="1" applyFont="1" applyAlignment="1">
      <alignment vertical="center"/>
    </xf>
    <xf numFmtId="172" fontId="18" fillId="7" borderId="0" xfId="1" applyNumberFormat="1" applyFont="1" applyFill="1" applyAlignment="1">
      <alignment horizontal="center" vertical="center"/>
    </xf>
    <xf numFmtId="173" fontId="18" fillId="7" borderId="0" xfId="1" applyNumberFormat="1" applyFont="1" applyFill="1" applyAlignment="1">
      <alignment horizontal="center" vertical="center"/>
    </xf>
    <xf numFmtId="174" fontId="18" fillId="7" borderId="0" xfId="1" applyNumberFormat="1" applyFont="1" applyFill="1" applyAlignment="1">
      <alignment horizontal="center" vertical="center"/>
    </xf>
    <xf numFmtId="169" fontId="2" fillId="0" borderId="0" xfId="1" applyNumberFormat="1" applyFont="1" applyAlignment="1">
      <alignment vertical="center"/>
    </xf>
    <xf numFmtId="169" fontId="18" fillId="7" borderId="0" xfId="1" applyNumberFormat="1" applyFont="1" applyFill="1" applyAlignment="1">
      <alignment vertical="center"/>
    </xf>
    <xf numFmtId="172" fontId="2" fillId="0" borderId="0" xfId="1" applyNumberFormat="1" applyFont="1" applyAlignment="1">
      <alignment horizontal="center" vertical="center"/>
    </xf>
    <xf numFmtId="166" fontId="2" fillId="0" borderId="0" xfId="1" applyNumberFormat="1" applyFont="1" applyAlignment="1">
      <alignment vertical="center"/>
    </xf>
    <xf numFmtId="164" fontId="17" fillId="0" borderId="14" xfId="1" applyNumberFormat="1" applyFont="1" applyBorder="1" applyAlignment="1">
      <alignment vertical="center"/>
    </xf>
    <xf numFmtId="171" fontId="17" fillId="0" borderId="14" xfId="1" applyNumberFormat="1" applyFont="1" applyBorder="1" applyAlignment="1">
      <alignment vertical="center"/>
    </xf>
    <xf numFmtId="172" fontId="17" fillId="0" borderId="14" xfId="1" applyNumberFormat="1" applyFont="1" applyBorder="1" applyAlignment="1">
      <alignment horizontal="center" vertical="center"/>
    </xf>
    <xf numFmtId="166" fontId="17" fillId="0" borderId="14" xfId="1" applyNumberFormat="1" applyFont="1" applyBorder="1" applyAlignment="1">
      <alignment vertical="center"/>
    </xf>
    <xf numFmtId="175" fontId="17" fillId="0" borderId="14" xfId="1" applyNumberFormat="1" applyFont="1" applyBorder="1" applyAlignment="1">
      <alignment vertical="center"/>
    </xf>
    <xf numFmtId="164" fontId="21" fillId="0" borderId="0" xfId="1" applyNumberFormat="1" applyFont="1" applyAlignment="1">
      <alignment vertical="center"/>
    </xf>
    <xf numFmtId="169" fontId="21" fillId="0" borderId="0" xfId="1" applyNumberFormat="1" applyFont="1" applyAlignment="1">
      <alignment vertical="center"/>
    </xf>
    <xf numFmtId="176" fontId="16" fillId="0" borderId="15" xfId="1" applyNumberFormat="1" applyFont="1" applyBorder="1" applyAlignment="1">
      <alignment horizontal="center" vertical="center"/>
    </xf>
    <xf numFmtId="0" fontId="2" fillId="0" borderId="17" xfId="1" applyFont="1" applyBorder="1" applyAlignment="1">
      <alignment vertical="center"/>
    </xf>
    <xf numFmtId="0" fontId="2" fillId="0" borderId="18" xfId="1" applyFont="1" applyBorder="1" applyAlignment="1">
      <alignment vertical="center"/>
    </xf>
    <xf numFmtId="177" fontId="17" fillId="0" borderId="0" xfId="1" applyNumberFormat="1" applyFont="1" applyAlignment="1">
      <alignment horizontal="center" vertical="center"/>
    </xf>
    <xf numFmtId="177" fontId="17" fillId="0" borderId="17" xfId="1" applyNumberFormat="1" applyFont="1" applyBorder="1" applyAlignment="1">
      <alignment horizontal="center" vertical="center"/>
    </xf>
    <xf numFmtId="177" fontId="17" fillId="0" borderId="18" xfId="1" applyNumberFormat="1" applyFont="1" applyBorder="1" applyAlignment="1">
      <alignment horizontal="center" vertical="center"/>
    </xf>
    <xf numFmtId="0" fontId="2" fillId="0" borderId="17" xfId="1" applyFont="1" applyBorder="1" applyAlignment="1">
      <alignment horizontal="left" vertical="center"/>
    </xf>
    <xf numFmtId="166" fontId="21" fillId="0" borderId="0" xfId="1" applyNumberFormat="1" applyFont="1" applyAlignment="1">
      <alignment vertical="center"/>
    </xf>
    <xf numFmtId="166" fontId="21" fillId="6" borderId="0" xfId="1" applyNumberFormat="1" applyFont="1" applyFill="1" applyAlignment="1">
      <alignment vertical="center"/>
    </xf>
    <xf numFmtId="166" fontId="18" fillId="7" borderId="17" xfId="1" applyNumberFormat="1" applyFont="1" applyFill="1" applyBorder="1" applyAlignment="1">
      <alignment vertical="center"/>
    </xf>
    <xf numFmtId="166" fontId="18" fillId="7" borderId="0" xfId="1" applyNumberFormat="1" applyFont="1" applyFill="1" applyAlignment="1">
      <alignment vertical="center"/>
    </xf>
    <xf numFmtId="166" fontId="18" fillId="7" borderId="18" xfId="1" applyNumberFormat="1" applyFont="1" applyFill="1" applyBorder="1" applyAlignment="1">
      <alignment vertical="center"/>
    </xf>
    <xf numFmtId="0" fontId="17" fillId="0" borderId="19" xfId="1" applyFont="1" applyBorder="1" applyAlignment="1">
      <alignment vertical="center"/>
    </xf>
    <xf numFmtId="166" fontId="17" fillId="6" borderId="14" xfId="1" applyNumberFormat="1" applyFont="1" applyFill="1" applyBorder="1" applyAlignment="1">
      <alignment vertical="center"/>
    </xf>
    <xf numFmtId="166" fontId="20" fillId="0" borderId="19" xfId="1" applyNumberFormat="1" applyFont="1" applyBorder="1" applyAlignment="1">
      <alignment vertical="center"/>
    </xf>
    <xf numFmtId="166" fontId="20" fillId="0" borderId="14" xfId="1" applyNumberFormat="1" applyFont="1" applyBorder="1" applyAlignment="1">
      <alignment vertical="center"/>
    </xf>
    <xf numFmtId="166" fontId="20" fillId="0" borderId="20" xfId="1" applyNumberFormat="1" applyFont="1" applyBorder="1" applyAlignment="1">
      <alignment vertical="center"/>
    </xf>
    <xf numFmtId="0" fontId="19" fillId="0" borderId="0" xfId="3" applyFont="1" applyAlignment="1">
      <alignment vertical="center"/>
    </xf>
    <xf numFmtId="0" fontId="18" fillId="0" borderId="17" xfId="1" applyFont="1" applyBorder="1" applyAlignment="1">
      <alignment vertical="center"/>
    </xf>
    <xf numFmtId="0" fontId="18" fillId="0" borderId="0" xfId="1" applyFont="1" applyAlignment="1">
      <alignment vertical="center"/>
    </xf>
    <xf numFmtId="0" fontId="18" fillId="0" borderId="18" xfId="1" applyFont="1" applyBorder="1" applyAlignment="1">
      <alignment vertical="center"/>
    </xf>
    <xf numFmtId="0" fontId="17" fillId="0" borderId="17" xfId="1" applyFont="1" applyBorder="1" applyAlignment="1">
      <alignment vertical="center"/>
    </xf>
    <xf numFmtId="0" fontId="17" fillId="0" borderId="0" xfId="1" applyFont="1" applyAlignment="1">
      <alignment vertical="center"/>
    </xf>
    <xf numFmtId="0" fontId="17" fillId="0" borderId="21" xfId="1" applyFont="1" applyBorder="1" applyAlignment="1">
      <alignment vertical="center"/>
    </xf>
    <xf numFmtId="0" fontId="17" fillId="0" borderId="22" xfId="1" applyFont="1" applyBorder="1" applyAlignment="1">
      <alignment vertical="center"/>
    </xf>
    <xf numFmtId="166" fontId="21" fillId="0" borderId="22" xfId="1" applyNumberFormat="1" applyFont="1" applyBorder="1" applyAlignment="1">
      <alignment vertical="center"/>
    </xf>
    <xf numFmtId="166" fontId="18" fillId="7" borderId="21" xfId="1" applyNumberFormat="1" applyFont="1" applyFill="1" applyBorder="1" applyAlignment="1">
      <alignment vertical="center"/>
    </xf>
    <xf numFmtId="166" fontId="18" fillId="7" borderId="22" xfId="1" applyNumberFormat="1" applyFont="1" applyFill="1" applyBorder="1" applyAlignment="1">
      <alignment vertical="center"/>
    </xf>
    <xf numFmtId="166" fontId="18" fillId="7" borderId="23" xfId="1" applyNumberFormat="1" applyFont="1" applyFill="1" applyBorder="1" applyAlignment="1">
      <alignment vertical="center"/>
    </xf>
    <xf numFmtId="173" fontId="2" fillId="0" borderId="0" xfId="1" applyNumberFormat="1" applyFont="1" applyAlignment="1">
      <alignment horizontal="center" vertical="center"/>
    </xf>
    <xf numFmtId="0" fontId="2" fillId="0" borderId="21" xfId="1" applyFont="1" applyBorder="1" applyAlignment="1">
      <alignment horizontal="left" vertical="center"/>
    </xf>
    <xf numFmtId="169" fontId="21" fillId="0" borderId="22" xfId="1" applyNumberFormat="1" applyFont="1" applyBorder="1" applyAlignment="1">
      <alignment vertical="center"/>
    </xf>
    <xf numFmtId="0" fontId="2" fillId="0" borderId="21" xfId="1" applyFont="1" applyBorder="1" applyAlignment="1">
      <alignment vertical="center"/>
    </xf>
    <xf numFmtId="0" fontId="2" fillId="0" borderId="22" xfId="1" applyFont="1" applyBorder="1" applyAlignment="1">
      <alignment vertical="center"/>
    </xf>
    <xf numFmtId="178" fontId="22" fillId="9" borderId="22" xfId="4" applyNumberFormat="1" applyFont="1" applyFill="1" applyBorder="1" applyAlignment="1">
      <alignment vertical="center"/>
    </xf>
    <xf numFmtId="178" fontId="22" fillId="9" borderId="21" xfId="4" applyNumberFormat="1" applyFont="1" applyFill="1" applyBorder="1" applyAlignment="1">
      <alignment vertical="center"/>
    </xf>
    <xf numFmtId="178" fontId="22" fillId="9" borderId="23" xfId="4" applyNumberFormat="1" applyFont="1" applyFill="1" applyBorder="1" applyAlignment="1">
      <alignment vertical="center"/>
    </xf>
    <xf numFmtId="164" fontId="21" fillId="0" borderId="0" xfId="1" applyNumberFormat="1" applyFont="1" applyAlignment="1">
      <alignment horizontal="center" vertical="center"/>
    </xf>
    <xf numFmtId="169" fontId="21" fillId="0" borderId="0" xfId="1" applyNumberFormat="1" applyFont="1" applyAlignment="1">
      <alignment horizontal="center" vertical="center"/>
    </xf>
    <xf numFmtId="173" fontId="2" fillId="0" borderId="8" xfId="1" applyNumberFormat="1" applyFont="1" applyBorder="1" applyAlignment="1">
      <alignment horizontal="center" vertical="center"/>
    </xf>
    <xf numFmtId="169" fontId="21" fillId="0" borderId="8" xfId="1" applyNumberFormat="1" applyFont="1" applyBorder="1" applyAlignment="1">
      <alignment horizontal="center" vertical="center"/>
    </xf>
    <xf numFmtId="169" fontId="21" fillId="0" borderId="8" xfId="1" applyNumberFormat="1" applyFont="1" applyBorder="1" applyAlignment="1">
      <alignment vertical="center"/>
    </xf>
    <xf numFmtId="175" fontId="17" fillId="0" borderId="14" xfId="1" applyNumberFormat="1" applyFont="1" applyBorder="1" applyAlignment="1">
      <alignment horizontal="center" vertical="center"/>
    </xf>
    <xf numFmtId="0" fontId="2" fillId="0" borderId="0" xfId="1" applyFont="1" applyAlignment="1">
      <alignment horizontal="left" vertical="center"/>
    </xf>
    <xf numFmtId="169" fontId="21" fillId="0" borderId="17" xfId="1" applyNumberFormat="1" applyFont="1" applyBorder="1" applyAlignment="1">
      <alignment vertical="center"/>
    </xf>
    <xf numFmtId="164" fontId="17" fillId="0" borderId="19" xfId="1" applyNumberFormat="1" applyFont="1" applyBorder="1" applyAlignment="1">
      <alignment vertical="center"/>
    </xf>
    <xf numFmtId="0" fontId="13" fillId="0" borderId="0" xfId="1" applyFont="1" applyAlignment="1">
      <alignment horizontal="left" vertical="center"/>
    </xf>
    <xf numFmtId="166" fontId="13" fillId="0" borderId="0" xfId="1" applyNumberFormat="1" applyFont="1" applyAlignment="1">
      <alignment vertical="center"/>
    </xf>
    <xf numFmtId="166" fontId="13" fillId="6" borderId="0" xfId="1" applyNumberFormat="1" applyFont="1" applyFill="1" applyAlignment="1">
      <alignment vertical="center"/>
    </xf>
    <xf numFmtId="166" fontId="23" fillId="0" borderId="17" xfId="1" applyNumberFormat="1" applyFont="1" applyBorder="1" applyAlignment="1">
      <alignment vertical="center"/>
    </xf>
    <xf numFmtId="166" fontId="23" fillId="0" borderId="0" xfId="1" applyNumberFormat="1" applyFont="1" applyAlignment="1">
      <alignment vertical="center"/>
    </xf>
    <xf numFmtId="169" fontId="2" fillId="0" borderId="17" xfId="1" applyNumberFormat="1" applyFont="1" applyBorder="1" applyAlignment="1">
      <alignment vertical="center"/>
    </xf>
    <xf numFmtId="177" fontId="17" fillId="0" borderId="0" xfId="1" applyNumberFormat="1" applyFont="1" applyAlignment="1">
      <alignment horizontal="left" vertical="center"/>
    </xf>
    <xf numFmtId="169" fontId="18" fillId="0" borderId="0" xfId="1" applyNumberFormat="1" applyFont="1" applyAlignment="1">
      <alignment vertical="center"/>
    </xf>
    <xf numFmtId="0" fontId="17" fillId="0" borderId="24" xfId="1" applyFont="1" applyBorder="1" applyAlignment="1">
      <alignment vertical="center"/>
    </xf>
    <xf numFmtId="164" fontId="17" fillId="0" borderId="24" xfId="1" applyNumberFormat="1" applyFont="1" applyBorder="1" applyAlignment="1">
      <alignment vertical="center"/>
    </xf>
    <xf numFmtId="164" fontId="17" fillId="0" borderId="25" xfId="1" applyNumberFormat="1" applyFont="1" applyBorder="1" applyAlignment="1">
      <alignment vertical="center"/>
    </xf>
    <xf numFmtId="169" fontId="23" fillId="0" borderId="0" xfId="1" applyNumberFormat="1" applyFont="1" applyAlignment="1">
      <alignment vertical="center"/>
    </xf>
    <xf numFmtId="169" fontId="14" fillId="0" borderId="0" xfId="1" applyNumberFormat="1" applyFont="1" applyAlignment="1">
      <alignment vertical="center"/>
    </xf>
    <xf numFmtId="169" fontId="23" fillId="0" borderId="17" xfId="1" applyNumberFormat="1" applyFont="1" applyBorder="1" applyAlignment="1">
      <alignment vertical="center"/>
    </xf>
    <xf numFmtId="177" fontId="17" fillId="0" borderId="0" xfId="1" applyNumberFormat="1" applyFont="1" applyAlignment="1">
      <alignment horizontal="center" vertical="center" wrapText="1"/>
    </xf>
    <xf numFmtId="0" fontId="11" fillId="9" borderId="0" xfId="3" applyFont="1" applyFill="1" applyAlignment="1">
      <alignment vertical="center"/>
    </xf>
    <xf numFmtId="176" fontId="2" fillId="0" borderId="0" xfId="1" applyNumberFormat="1" applyFont="1" applyAlignment="1">
      <alignment horizontal="center" vertical="center"/>
    </xf>
    <xf numFmtId="172" fontId="21" fillId="0" borderId="0" xfId="1" applyNumberFormat="1" applyFont="1" applyAlignment="1">
      <alignment horizontal="center" vertical="center"/>
    </xf>
    <xf numFmtId="170" fontId="2" fillId="0" borderId="0" xfId="1" applyNumberFormat="1" applyFont="1" applyAlignment="1">
      <alignment horizontal="center" vertical="center"/>
    </xf>
    <xf numFmtId="170" fontId="2" fillId="0" borderId="8" xfId="1" applyNumberFormat="1" applyFont="1" applyBorder="1" applyAlignment="1">
      <alignment horizontal="center" vertical="center"/>
    </xf>
    <xf numFmtId="172" fontId="21" fillId="0" borderId="8" xfId="1" applyNumberFormat="1" applyFont="1" applyBorder="1" applyAlignment="1">
      <alignment horizontal="center" vertical="center"/>
    </xf>
    <xf numFmtId="179" fontId="19" fillId="0" borderId="0" xfId="3" applyNumberFormat="1" applyFont="1" applyAlignment="1">
      <alignment vertical="center"/>
    </xf>
    <xf numFmtId="0" fontId="24" fillId="9" borderId="0" xfId="2" applyFont="1" applyFill="1"/>
    <xf numFmtId="0" fontId="11" fillId="9" borderId="0" xfId="2" applyFont="1" applyFill="1" applyAlignment="1">
      <alignment vertical="center"/>
    </xf>
    <xf numFmtId="179" fontId="11" fillId="9" borderId="0" xfId="2" applyNumberFormat="1" applyFont="1" applyFill="1" applyAlignment="1">
      <alignment vertical="center"/>
    </xf>
    <xf numFmtId="0" fontId="25" fillId="0" borderId="0" xfId="2" applyFont="1"/>
    <xf numFmtId="169" fontId="23" fillId="0" borderId="0" xfId="1" applyNumberFormat="1" applyFont="1" applyAlignment="1">
      <alignment horizontal="right" vertical="center"/>
    </xf>
    <xf numFmtId="169" fontId="21" fillId="6" borderId="17" xfId="1" applyNumberFormat="1" applyFont="1" applyFill="1" applyBorder="1" applyAlignment="1">
      <alignment vertical="center"/>
    </xf>
    <xf numFmtId="169" fontId="21" fillId="6" borderId="0" xfId="1" applyNumberFormat="1" applyFont="1" applyFill="1" applyAlignment="1">
      <alignment vertical="center"/>
    </xf>
    <xf numFmtId="174" fontId="21" fillId="0" borderId="0" xfId="1" applyNumberFormat="1" applyFont="1" applyAlignment="1">
      <alignment horizontal="center" vertical="center"/>
    </xf>
    <xf numFmtId="10" fontId="21" fillId="0" borderId="0" xfId="4" applyNumberFormat="1" applyFont="1" applyAlignment="1">
      <alignment vertical="center"/>
    </xf>
    <xf numFmtId="164" fontId="21" fillId="0" borderId="17" xfId="1" applyNumberFormat="1" applyFont="1" applyBorder="1" applyAlignment="1">
      <alignment vertical="center"/>
    </xf>
    <xf numFmtId="171" fontId="21" fillId="0" borderId="0" xfId="1" applyNumberFormat="1" applyFont="1" applyAlignment="1">
      <alignment vertical="center"/>
    </xf>
    <xf numFmtId="171" fontId="21" fillId="0" borderId="17" xfId="1" applyNumberFormat="1" applyFont="1" applyBorder="1" applyAlignment="1">
      <alignment vertical="center"/>
    </xf>
    <xf numFmtId="180" fontId="17" fillId="0" borderId="0" xfId="1" applyNumberFormat="1" applyFont="1" applyAlignment="1">
      <alignment horizontal="center" vertical="center"/>
    </xf>
    <xf numFmtId="180" fontId="17" fillId="0" borderId="17" xfId="1" applyNumberFormat="1" applyFont="1" applyBorder="1" applyAlignment="1">
      <alignment horizontal="center" vertical="center"/>
    </xf>
    <xf numFmtId="0" fontId="17" fillId="0" borderId="26" xfId="1" applyFont="1" applyBorder="1" applyAlignment="1">
      <alignment vertical="center"/>
    </xf>
    <xf numFmtId="181" fontId="17" fillId="0" borderId="27" xfId="1" applyNumberFormat="1" applyFont="1" applyBorder="1" applyAlignment="1">
      <alignment vertical="center"/>
    </xf>
    <xf numFmtId="0" fontId="17" fillId="0" borderId="28" xfId="1" applyFont="1" applyBorder="1" applyAlignment="1">
      <alignment vertical="center"/>
    </xf>
    <xf numFmtId="166" fontId="17" fillId="0" borderId="29" xfId="1" applyNumberFormat="1" applyFont="1" applyBorder="1" applyAlignment="1">
      <alignment vertical="center"/>
    </xf>
    <xf numFmtId="0" fontId="19" fillId="4" borderId="0" xfId="3" applyFont="1" applyFill="1" applyAlignment="1">
      <alignment vertical="center"/>
    </xf>
    <xf numFmtId="0" fontId="12" fillId="2" borderId="0" xfId="2" applyFont="1" applyFill="1" applyAlignment="1">
      <alignment vertical="center"/>
    </xf>
    <xf numFmtId="0" fontId="11" fillId="9" borderId="0" xfId="2" applyFont="1" applyFill="1" applyAlignment="1">
      <alignment horizontal="center" vertical="center"/>
    </xf>
    <xf numFmtId="0" fontId="19" fillId="0" borderId="0" xfId="2" applyFont="1" applyAlignment="1">
      <alignment vertical="center"/>
    </xf>
    <xf numFmtId="182" fontId="19" fillId="0" borderId="0" xfId="2" applyNumberFormat="1" applyFont="1" applyAlignment="1">
      <alignment vertical="center"/>
    </xf>
    <xf numFmtId="0" fontId="11" fillId="0" borderId="0" xfId="2" applyFont="1" applyAlignment="1">
      <alignment horizontal="center" vertical="center"/>
    </xf>
    <xf numFmtId="0" fontId="11" fillId="0" borderId="14" xfId="2" applyFont="1" applyBorder="1" applyAlignment="1">
      <alignment vertical="center"/>
    </xf>
    <xf numFmtId="182" fontId="11" fillId="0" borderId="14" xfId="2" applyNumberFormat="1" applyFont="1" applyBorder="1" applyAlignment="1">
      <alignment vertical="center"/>
    </xf>
    <xf numFmtId="0" fontId="11" fillId="0" borderId="14" xfId="2" applyFont="1" applyBorder="1" applyAlignment="1">
      <alignment horizontal="center" vertical="center"/>
    </xf>
    <xf numFmtId="0" fontId="11" fillId="0" borderId="0" xfId="2" applyFont="1" applyAlignment="1">
      <alignment vertical="center"/>
    </xf>
    <xf numFmtId="182" fontId="11" fillId="0" borderId="0" xfId="2" applyNumberFormat="1" applyFont="1" applyAlignment="1">
      <alignment vertical="center"/>
    </xf>
    <xf numFmtId="182" fontId="11" fillId="2" borderId="0" xfId="2" applyNumberFormat="1" applyFont="1" applyFill="1" applyAlignment="1">
      <alignment vertical="center"/>
    </xf>
    <xf numFmtId="0" fontId="11" fillId="2" borderId="0" xfId="2" applyFont="1" applyFill="1" applyAlignment="1">
      <alignment horizontal="center" vertical="center"/>
    </xf>
    <xf numFmtId="0" fontId="11" fillId="2" borderId="0" xfId="2" applyFont="1" applyFill="1" applyAlignment="1">
      <alignment vertical="center" wrapText="1"/>
    </xf>
    <xf numFmtId="0" fontId="3" fillId="2" borderId="0" xfId="1" applyFont="1" applyFill="1" applyAlignment="1">
      <alignment vertical="center"/>
    </xf>
    <xf numFmtId="0" fontId="26" fillId="3" borderId="0" xfId="1" applyFont="1" applyFill="1" applyAlignment="1">
      <alignment vertical="center" wrapText="1"/>
    </xf>
    <xf numFmtId="0" fontId="6" fillId="2" borderId="0" xfId="1" applyFont="1" applyFill="1" applyAlignment="1">
      <alignment vertical="center"/>
    </xf>
    <xf numFmtId="0" fontId="27" fillId="0" borderId="0" xfId="1" applyFont="1"/>
    <xf numFmtId="183" fontId="27" fillId="0" borderId="0" xfId="1" applyNumberFormat="1" applyFont="1"/>
    <xf numFmtId="0" fontId="28" fillId="0" borderId="30" xfId="1" applyFont="1" applyBorder="1"/>
    <xf numFmtId="183" fontId="28" fillId="0" borderId="30" xfId="1" applyNumberFormat="1" applyFont="1" applyBorder="1"/>
    <xf numFmtId="184" fontId="27" fillId="0" borderId="0" xfId="1" applyNumberFormat="1" applyFont="1"/>
    <xf numFmtId="0" fontId="6" fillId="2" borderId="0" xfId="1" applyFont="1" applyFill="1" applyAlignment="1">
      <alignment vertical="center" wrapText="1"/>
    </xf>
    <xf numFmtId="183" fontId="1" fillId="0" borderId="0" xfId="1" applyNumberFormat="1"/>
    <xf numFmtId="184" fontId="1" fillId="0" borderId="0" xfId="1" applyNumberFormat="1"/>
    <xf numFmtId="0" fontId="6" fillId="2" borderId="0" xfId="1" applyFont="1" applyFill="1"/>
    <xf numFmtId="0" fontId="29" fillId="0" borderId="0" xfId="1" applyFont="1" applyAlignment="1">
      <alignment vertical="top" wrapText="1"/>
    </xf>
    <xf numFmtId="0" fontId="30" fillId="0" borderId="0" xfId="1" applyFont="1" applyAlignment="1">
      <alignment vertical="top" wrapText="1"/>
    </xf>
    <xf numFmtId="0" fontId="1" fillId="0" borderId="0" xfId="1" applyAlignment="1">
      <alignment vertical="center" wrapText="1"/>
    </xf>
    <xf numFmtId="185" fontId="1" fillId="0" borderId="0" xfId="1" applyNumberFormat="1" applyAlignment="1">
      <alignment vertical="center" wrapText="1"/>
    </xf>
    <xf numFmtId="0" fontId="1" fillId="0" borderId="0" xfId="1"/>
    <xf numFmtId="183" fontId="1" fillId="0" borderId="0" xfId="1" applyNumberFormat="1" applyAlignment="1">
      <alignment vertical="center" wrapText="1"/>
    </xf>
    <xf numFmtId="184" fontId="1" fillId="0" borderId="0" xfId="1" applyNumberFormat="1" applyAlignment="1">
      <alignment vertical="center" wrapText="1"/>
    </xf>
    <xf numFmtId="186" fontId="1" fillId="0" borderId="0" xfId="1" applyNumberFormat="1" applyAlignment="1">
      <alignment vertical="center" wrapText="1"/>
    </xf>
    <xf numFmtId="0" fontId="24" fillId="0" borderId="0" xfId="1" applyFont="1" applyAlignment="1">
      <alignment vertical="center" wrapText="1"/>
    </xf>
    <xf numFmtId="167" fontId="24" fillId="0" borderId="0" xfId="1" applyNumberFormat="1" applyFont="1" applyAlignment="1">
      <alignment vertical="center" wrapText="1"/>
    </xf>
    <xf numFmtId="187" fontId="24" fillId="0" borderId="0" xfId="1" applyNumberFormat="1" applyFont="1" applyAlignment="1">
      <alignment vertical="center" wrapText="1"/>
    </xf>
    <xf numFmtId="0" fontId="31" fillId="0" borderId="0" xfId="1" applyFont="1" applyAlignment="1">
      <alignment vertical="top" wrapText="1"/>
    </xf>
    <xf numFmtId="167" fontId="1" fillId="0" borderId="0" xfId="1" applyNumberFormat="1" applyAlignment="1">
      <alignment vertical="center" wrapText="1"/>
    </xf>
    <xf numFmtId="187" fontId="1" fillId="0" borderId="0" xfId="1" applyNumberFormat="1" applyAlignment="1">
      <alignment vertical="center" wrapText="1"/>
    </xf>
    <xf numFmtId="0" fontId="32" fillId="10" borderId="0" xfId="1" applyFont="1" applyFill="1"/>
    <xf numFmtId="167" fontId="6" fillId="2" borderId="0" xfId="1" applyNumberFormat="1" applyFont="1" applyFill="1" applyAlignment="1">
      <alignment vertical="center"/>
    </xf>
    <xf numFmtId="0" fontId="33" fillId="3" borderId="0" xfId="1" applyFont="1" applyFill="1"/>
    <xf numFmtId="167" fontId="1" fillId="0" borderId="0" xfId="1" applyNumberFormat="1"/>
    <xf numFmtId="187" fontId="1" fillId="0" borderId="0" xfId="1" applyNumberFormat="1"/>
    <xf numFmtId="0" fontId="1" fillId="0" borderId="0" xfId="1" applyAlignment="1">
      <alignment wrapText="1"/>
    </xf>
    <xf numFmtId="0" fontId="33" fillId="3" borderId="0" xfId="1" applyFont="1" applyFill="1" applyAlignment="1">
      <alignment vertical="center" wrapText="1"/>
    </xf>
    <xf numFmtId="167" fontId="1" fillId="0" borderId="0" xfId="1" applyNumberFormat="1" applyAlignment="1">
      <alignment wrapText="1"/>
    </xf>
    <xf numFmtId="187" fontId="1" fillId="0" borderId="0" xfId="1" applyNumberFormat="1" applyAlignment="1">
      <alignment wrapText="1"/>
    </xf>
    <xf numFmtId="9" fontId="1" fillId="0" borderId="0" xfId="1" applyNumberFormat="1"/>
    <xf numFmtId="188" fontId="1" fillId="0" borderId="0" xfId="1" applyNumberFormat="1"/>
    <xf numFmtId="0" fontId="30" fillId="0" borderId="0" xfId="1" applyFont="1" applyAlignment="1">
      <alignment wrapText="1"/>
    </xf>
    <xf numFmtId="0" fontId="37" fillId="0" borderId="0" xfId="1" applyFont="1" applyAlignment="1">
      <alignment wrapText="1"/>
    </xf>
    <xf numFmtId="0" fontId="15" fillId="5" borderId="0" xfId="1" applyFont="1" applyFill="1" applyAlignment="1">
      <alignment horizontal="center" vertical="center"/>
    </xf>
    <xf numFmtId="0" fontId="16" fillId="6" borderId="4" xfId="1" applyFont="1" applyFill="1" applyBorder="1" applyAlignment="1">
      <alignment horizontal="center" vertical="center"/>
    </xf>
    <xf numFmtId="0" fontId="17" fillId="6" borderId="4" xfId="1" applyFont="1" applyFill="1" applyBorder="1" applyAlignment="1">
      <alignment horizontal="center" vertical="center"/>
    </xf>
    <xf numFmtId="0" fontId="11" fillId="3" borderId="0" xfId="3" applyFont="1" applyFill="1" applyAlignment="1">
      <alignment horizontal="right" vertical="center" wrapText="1"/>
    </xf>
    <xf numFmtId="0" fontId="17" fillId="8" borderId="16" xfId="1" applyFont="1" applyFill="1" applyBorder="1" applyAlignment="1">
      <alignment horizontal="center" vertical="center"/>
    </xf>
    <xf numFmtId="0" fontId="15" fillId="5" borderId="4" xfId="1" applyFont="1" applyFill="1" applyBorder="1" applyAlignment="1">
      <alignment horizontal="center" vertical="center"/>
    </xf>
    <xf numFmtId="0" fontId="11" fillId="9" borderId="0" xfId="2" applyFont="1" applyFill="1" applyAlignment="1">
      <alignment horizontal="center" vertical="center" wrapText="1"/>
    </xf>
    <xf numFmtId="0" fontId="19" fillId="0" borderId="0" xfId="2" applyFont="1" applyAlignment="1">
      <alignment vertical="center" wrapText="1"/>
    </xf>
    <xf numFmtId="0" fontId="11" fillId="0" borderId="14" xfId="2" applyFont="1" applyBorder="1" applyAlignment="1">
      <alignment vertical="center" wrapText="1"/>
    </xf>
    <xf numFmtId="0" fontId="11" fillId="0" borderId="0" xfId="2" applyFont="1" applyAlignment="1">
      <alignment vertical="center" wrapText="1"/>
    </xf>
    <xf numFmtId="0" fontId="29" fillId="7" borderId="0" xfId="1" applyFont="1" applyFill="1" applyAlignment="1">
      <alignment vertical="center" wrapText="1"/>
    </xf>
    <xf numFmtId="0" fontId="3" fillId="10" borderId="0" xfId="1" applyFont="1" applyFill="1" applyAlignment="1">
      <alignment vertical="center"/>
    </xf>
    <xf numFmtId="0" fontId="26" fillId="3" borderId="0" xfId="1" applyFont="1" applyFill="1" applyAlignment="1">
      <alignment vertical="center" wrapText="1"/>
    </xf>
    <xf numFmtId="0" fontId="34" fillId="6" borderId="0" xfId="1" applyFont="1" applyFill="1" applyAlignment="1">
      <alignment wrapText="1"/>
    </xf>
    <xf numFmtId="0" fontId="35" fillId="2" borderId="0" xfId="1" applyFont="1" applyFill="1" applyAlignment="1">
      <alignment vertical="center"/>
    </xf>
    <xf numFmtId="0" fontId="36" fillId="11" borderId="0" xfId="1" applyFont="1" applyFill="1" applyAlignment="1">
      <alignment vertical="center" wrapText="1"/>
    </xf>
    <xf numFmtId="0" fontId="1" fillId="0" borderId="0" xfId="1" applyAlignment="1">
      <alignment wrapText="1"/>
    </xf>
    <xf numFmtId="0" fontId="33" fillId="3" borderId="0" xfId="1" applyFont="1" applyFill="1" applyAlignment="1">
      <alignment vertical="center" wrapText="1"/>
    </xf>
    <xf numFmtId="0" fontId="34" fillId="6" borderId="0" xfId="1" applyFont="1" applyFill="1" applyAlignment="1">
      <alignment vertical="center" wrapText="1"/>
    </xf>
  </cellXfs>
  <cellStyles count="5">
    <cellStyle name="Normal" xfId="0" builtinId="0"/>
    <cellStyle name="Normal 1" xfId="2" xr:uid="{00000000-0005-0000-0000-000007000000}"/>
    <cellStyle name="Normal 2" xfId="3" xr:uid="{00000000-0005-0000-0000-000008000000}"/>
    <cellStyle name="Normal 3" xfId="4" xr:uid="{00000000-0005-0000-0000-000009000000}"/>
    <cellStyle name="Normal 4" xfId="1" xr:uid="{00000000-0005-0000-0000-000006000000}"/>
  </cellStyles>
  <dxfs count="20">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202020"/>
      <rgbColor rgb="FF9C6500"/>
      <rgbColor rgb="FF800080"/>
      <rgbColor rgb="FF1F4E78"/>
      <rgbColor rgb="FFB4C6E7"/>
      <rgbColor rgb="FF595959"/>
      <rgbColor rgb="FF9999FF"/>
      <rgbColor rgb="FF993366"/>
      <rgbColor rgb="FFFFF2CC"/>
      <rgbColor rgb="FFD9EAF7"/>
      <rgbColor rgb="FF660066"/>
      <rgbColor rgb="FFFF8080"/>
      <rgbColor rgb="FF0563C1"/>
      <rgbColor rgb="FFB4C7E7"/>
      <rgbColor rgb="FF000080"/>
      <rgbColor rgb="FFFF00FF"/>
      <rgbColor rgb="FFFFFF00"/>
      <rgbColor rgb="FF00FFFF"/>
      <rgbColor rgb="FF800080"/>
      <rgbColor rgb="FF800000"/>
      <rgbColor rgb="FF008080"/>
      <rgbColor rgb="FF0000FF"/>
      <rgbColor rgb="FF00CCFF"/>
      <rgbColor rgb="FFEAF2F8"/>
      <rgbColor rgb="FFC6EFCE"/>
      <rgbColor rgb="FFFFEB9C"/>
      <rgbColor rgb="FFD9D9D9"/>
      <rgbColor rgb="FFE7E6E6"/>
      <rgbColor rgb="FFF2F2F2"/>
      <rgbColor rgb="FFFFC7CE"/>
      <rgbColor rgb="FF3366FF"/>
      <rgbColor rgb="FF33CCCC"/>
      <rgbColor rgb="FF99CC00"/>
      <rgbColor rgb="FFFFCC00"/>
      <rgbColor rgb="FFFF9900"/>
      <rgbColor rgb="FFFF6600"/>
      <rgbColor rgb="FF666666"/>
      <rgbColor rgb="FF969696"/>
      <rgbColor rgb="FF17365D"/>
      <rgbColor rgb="FF339966"/>
      <rgbColor rgb="FF1F1F1F"/>
      <rgbColor rgb="FF222222"/>
      <rgbColor rgb="FF9933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973F861-97AD-D642-946B-8991B7CB3640}">
  <we:reference id="wa200010215" version="2.0.0.0" store="en-US" storeType="OMEX"/>
  <we:alternateReferences>
    <we:reference id="WA200010215" version="2.0.0.0" store="WA200010215" storeType="OMEX"/>
  </we:alternateReferences>
  <we:properties>
    <we:property name="bps.codex_control.document_id" value="&quot;ebdaf28e-7b55-46cb-a17b-eb12440b691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4"/>
  <sheetViews>
    <sheetView showGridLines="0" tabSelected="1" zoomScaleNormal="100" workbookViewId="0">
      <pane ySplit="2" topLeftCell="A3" activePane="bottomLeft" state="frozen"/>
      <selection pane="bottomLeft"/>
    </sheetView>
  </sheetViews>
  <sheetFormatPr baseColWidth="10" defaultColWidth="8.6640625" defaultRowHeight="13" x14ac:dyDescent="0.15"/>
  <cols>
    <col min="1" max="1" width="2.1640625" style="15" customWidth="1"/>
    <col min="2" max="7" width="15.5" style="15" customWidth="1"/>
    <col min="8" max="8" width="2.1640625" style="15" customWidth="1"/>
  </cols>
  <sheetData>
    <row r="1" spans="2:7" ht="30" customHeight="1" x14ac:dyDescent="0.15">
      <c r="B1" s="14" t="s">
        <v>0</v>
      </c>
      <c r="C1" s="14"/>
      <c r="D1" s="14"/>
      <c r="E1" s="14"/>
      <c r="F1" s="14"/>
      <c r="G1" s="14"/>
    </row>
    <row r="2" spans="2:7" ht="22" customHeight="1" x14ac:dyDescent="0.15">
      <c r="B2" s="13" t="s">
        <v>1</v>
      </c>
      <c r="C2" s="13"/>
      <c r="D2" s="13"/>
      <c r="E2" s="13"/>
      <c r="F2" s="13"/>
      <c r="G2" s="13"/>
    </row>
    <row r="3" spans="2:7" ht="14" x14ac:dyDescent="0.15">
      <c r="B3" s="16"/>
      <c r="C3" s="16"/>
      <c r="D3" s="16"/>
      <c r="E3" s="16"/>
      <c r="F3" s="16"/>
      <c r="G3" s="16"/>
    </row>
    <row r="4" spans="2:7" ht="22" customHeight="1" x14ac:dyDescent="0.15">
      <c r="B4" s="12" t="s">
        <v>2</v>
      </c>
      <c r="C4" s="12"/>
      <c r="D4" s="12"/>
      <c r="E4" s="12" t="s">
        <v>3</v>
      </c>
      <c r="F4" s="12"/>
      <c r="G4" s="12"/>
    </row>
    <row r="5" spans="2:7" ht="22" customHeight="1" x14ac:dyDescent="0.15">
      <c r="B5" s="11" t="s">
        <v>4</v>
      </c>
      <c r="C5" s="11"/>
      <c r="D5" s="11"/>
      <c r="E5" s="10" t="s">
        <v>5</v>
      </c>
      <c r="F5" s="10"/>
      <c r="G5" s="10"/>
    </row>
    <row r="6" spans="2:7" ht="22" customHeight="1" x14ac:dyDescent="0.15">
      <c r="B6" s="11"/>
      <c r="C6" s="11"/>
      <c r="D6" s="11"/>
      <c r="E6" s="10"/>
      <c r="F6" s="10"/>
      <c r="G6" s="10"/>
    </row>
    <row r="7" spans="2:7" ht="22" customHeight="1" x14ac:dyDescent="0.15">
      <c r="B7" s="11"/>
      <c r="C7" s="11"/>
      <c r="D7" s="11"/>
      <c r="E7" s="10"/>
      <c r="F7" s="10"/>
      <c r="G7" s="10"/>
    </row>
    <row r="8" spans="2:7" ht="22" customHeight="1" x14ac:dyDescent="0.15">
      <c r="B8" s="11"/>
      <c r="C8" s="11"/>
      <c r="D8" s="11"/>
      <c r="E8" s="10"/>
      <c r="F8" s="10"/>
      <c r="G8" s="10"/>
    </row>
    <row r="9" spans="2:7" ht="22" customHeight="1" x14ac:dyDescent="0.15">
      <c r="B9" s="11"/>
      <c r="C9" s="11"/>
      <c r="D9" s="11"/>
      <c r="E9" s="10"/>
      <c r="F9" s="10"/>
      <c r="G9" s="10"/>
    </row>
    <row r="10" spans="2:7" ht="22" customHeight="1" x14ac:dyDescent="0.15">
      <c r="B10" s="11"/>
      <c r="C10" s="11"/>
      <c r="D10" s="11"/>
      <c r="E10" s="10"/>
      <c r="F10" s="10"/>
      <c r="G10" s="10"/>
    </row>
    <row r="11" spans="2:7" ht="14" x14ac:dyDescent="0.15">
      <c r="B11" s="16"/>
      <c r="C11" s="16"/>
      <c r="D11" s="16"/>
      <c r="E11" s="16"/>
      <c r="F11" s="16"/>
      <c r="G11" s="16"/>
    </row>
    <row r="12" spans="2:7" ht="22" customHeight="1" x14ac:dyDescent="0.15">
      <c r="B12" s="12" t="s">
        <v>6</v>
      </c>
      <c r="C12" s="12"/>
      <c r="D12" s="12"/>
      <c r="E12" s="12" t="s">
        <v>7</v>
      </c>
      <c r="F12" s="12"/>
      <c r="G12" s="12"/>
    </row>
    <row r="13" spans="2:7" ht="20" customHeight="1" x14ac:dyDescent="0.15">
      <c r="B13" s="9" t="s">
        <v>8</v>
      </c>
      <c r="C13" s="9"/>
      <c r="D13" s="9"/>
      <c r="E13" s="9" t="s">
        <v>9</v>
      </c>
      <c r="F13" s="9"/>
      <c r="G13" s="9"/>
    </row>
    <row r="14" spans="2:7" ht="20" customHeight="1" x14ac:dyDescent="0.15">
      <c r="B14" s="9"/>
      <c r="C14" s="9"/>
      <c r="D14" s="9"/>
      <c r="E14" s="9"/>
      <c r="F14" s="9"/>
      <c r="G14" s="9"/>
    </row>
    <row r="15" spans="2:7" ht="20" customHeight="1" x14ac:dyDescent="0.15">
      <c r="B15" s="9"/>
      <c r="C15" s="9"/>
      <c r="D15" s="9"/>
      <c r="E15" s="9"/>
      <c r="F15" s="9"/>
      <c r="G15" s="9"/>
    </row>
    <row r="16" spans="2:7" ht="20" customHeight="1" x14ac:dyDescent="0.15">
      <c r="B16" s="9"/>
      <c r="C16" s="9"/>
      <c r="D16" s="9"/>
      <c r="E16" s="9"/>
      <c r="F16" s="9"/>
      <c r="G16" s="9"/>
    </row>
    <row r="17" spans="2:7" ht="20" customHeight="1" x14ac:dyDescent="0.15">
      <c r="B17" s="9"/>
      <c r="C17" s="9"/>
      <c r="D17" s="9"/>
      <c r="E17" s="9"/>
      <c r="F17" s="9"/>
      <c r="G17" s="9"/>
    </row>
    <row r="18" spans="2:7" ht="20" customHeight="1" x14ac:dyDescent="0.15">
      <c r="B18" s="9"/>
      <c r="C18" s="9"/>
      <c r="D18" s="9"/>
      <c r="E18" s="9"/>
      <c r="F18" s="9"/>
      <c r="G18" s="9"/>
    </row>
    <row r="19" spans="2:7" ht="20" customHeight="1" x14ac:dyDescent="0.15">
      <c r="B19" s="9"/>
      <c r="C19" s="9"/>
      <c r="D19" s="9"/>
      <c r="E19" s="9"/>
      <c r="F19" s="9"/>
      <c r="G19" s="9"/>
    </row>
    <row r="20" spans="2:7" ht="20" customHeight="1" x14ac:dyDescent="0.15">
      <c r="B20" s="9"/>
      <c r="C20" s="9"/>
      <c r="D20" s="9"/>
      <c r="E20" s="9"/>
      <c r="F20" s="9"/>
      <c r="G20" s="9"/>
    </row>
    <row r="21" spans="2:7" ht="14" x14ac:dyDescent="0.15">
      <c r="B21" s="16"/>
      <c r="C21" s="16"/>
      <c r="D21" s="16"/>
      <c r="E21" s="16"/>
      <c r="F21" s="16"/>
      <c r="G21" s="16"/>
    </row>
    <row r="22" spans="2:7" ht="22" customHeight="1" x14ac:dyDescent="0.15">
      <c r="B22" s="12" t="s">
        <v>10</v>
      </c>
      <c r="C22" s="12"/>
      <c r="D22" s="12"/>
      <c r="E22" s="12" t="s">
        <v>11</v>
      </c>
      <c r="F22" s="12"/>
      <c r="G22" s="12"/>
    </row>
    <row r="23" spans="2:7" ht="32" customHeight="1" x14ac:dyDescent="0.15">
      <c r="B23" s="9" t="s">
        <v>12</v>
      </c>
      <c r="C23" s="9"/>
      <c r="D23" s="9"/>
      <c r="E23" s="9" t="s">
        <v>13</v>
      </c>
      <c r="F23" s="9"/>
      <c r="G23" s="9"/>
    </row>
    <row r="24" spans="2:7" ht="32" customHeight="1" x14ac:dyDescent="0.15">
      <c r="B24" s="9"/>
      <c r="C24" s="9"/>
      <c r="D24" s="9"/>
      <c r="E24" s="9"/>
      <c r="F24" s="9"/>
      <c r="G24" s="9"/>
    </row>
    <row r="25" spans="2:7" ht="32" customHeight="1" x14ac:dyDescent="0.15">
      <c r="B25" s="9"/>
      <c r="C25" s="9"/>
      <c r="D25" s="9"/>
      <c r="E25" s="9"/>
      <c r="F25" s="9"/>
      <c r="G25" s="9"/>
    </row>
    <row r="26" spans="2:7" ht="32" customHeight="1" x14ac:dyDescent="0.15">
      <c r="B26" s="9"/>
      <c r="C26" s="9"/>
      <c r="D26" s="9"/>
      <c r="E26" s="9"/>
      <c r="F26" s="9"/>
      <c r="G26" s="9"/>
    </row>
    <row r="27" spans="2:7" ht="32" customHeight="1" x14ac:dyDescent="0.15">
      <c r="B27" s="9"/>
      <c r="C27" s="9"/>
      <c r="D27" s="9"/>
      <c r="E27" s="9"/>
      <c r="F27" s="9"/>
      <c r="G27" s="9"/>
    </row>
    <row r="28" spans="2:7" ht="32" customHeight="1" x14ac:dyDescent="0.15">
      <c r="B28" s="9"/>
      <c r="C28" s="9"/>
      <c r="D28" s="9"/>
      <c r="E28" s="9"/>
      <c r="F28" s="9"/>
      <c r="G28" s="9"/>
    </row>
    <row r="29" spans="2:7" ht="32" customHeight="1" x14ac:dyDescent="0.15">
      <c r="B29" s="9"/>
      <c r="C29" s="9"/>
      <c r="D29" s="9"/>
      <c r="E29" s="9"/>
      <c r="F29" s="9"/>
      <c r="G29" s="9"/>
    </row>
    <row r="30" spans="2:7" ht="32" customHeight="1" x14ac:dyDescent="0.15">
      <c r="B30" s="9"/>
      <c r="C30" s="9"/>
      <c r="D30" s="9"/>
      <c r="E30" s="9"/>
      <c r="F30" s="9"/>
      <c r="G30" s="9"/>
    </row>
    <row r="31" spans="2:7" ht="32" customHeight="1" x14ac:dyDescent="0.15">
      <c r="B31" s="9"/>
      <c r="C31" s="9"/>
      <c r="D31" s="9"/>
      <c r="E31" s="9"/>
      <c r="F31" s="9"/>
      <c r="G31" s="9"/>
    </row>
    <row r="32" spans="2:7" ht="14" x14ac:dyDescent="0.15">
      <c r="B32" s="16"/>
      <c r="C32" s="16"/>
      <c r="D32" s="16"/>
      <c r="E32" s="16"/>
      <c r="F32" s="16"/>
      <c r="G32" s="16"/>
    </row>
    <row r="33" spans="2:7" ht="22" customHeight="1" x14ac:dyDescent="0.15">
      <c r="B33" s="8" t="s">
        <v>14</v>
      </c>
      <c r="C33" s="8"/>
      <c r="D33" s="8"/>
      <c r="E33" s="8"/>
      <c r="F33" s="8"/>
      <c r="G33" s="8"/>
    </row>
    <row r="34" spans="2:7" ht="24" customHeight="1" x14ac:dyDescent="0.15">
      <c r="B34" s="7" t="s">
        <v>15</v>
      </c>
      <c r="C34" s="7"/>
      <c r="D34" s="7"/>
      <c r="E34" s="7"/>
      <c r="F34" s="7"/>
      <c r="G34" s="7"/>
    </row>
    <row r="35" spans="2:7" ht="24" customHeight="1" x14ac:dyDescent="0.15">
      <c r="B35" s="7"/>
      <c r="C35" s="7"/>
      <c r="D35" s="7"/>
      <c r="E35" s="7"/>
      <c r="F35" s="7"/>
      <c r="G35" s="7"/>
    </row>
    <row r="36" spans="2:7" ht="24" customHeight="1" x14ac:dyDescent="0.15">
      <c r="B36" s="7"/>
      <c r="C36" s="7"/>
      <c r="D36" s="7"/>
      <c r="E36" s="7"/>
      <c r="F36" s="7"/>
      <c r="G36" s="7"/>
    </row>
    <row r="37" spans="2:7" ht="24" customHeight="1" x14ac:dyDescent="0.15">
      <c r="B37" s="7"/>
      <c r="C37" s="7"/>
      <c r="D37" s="7"/>
      <c r="E37" s="7"/>
      <c r="F37" s="7"/>
      <c r="G37" s="7"/>
    </row>
    <row r="38" spans="2:7" ht="24" customHeight="1" x14ac:dyDescent="0.15">
      <c r="B38" s="7"/>
      <c r="C38" s="7"/>
      <c r="D38" s="7"/>
      <c r="E38" s="7"/>
      <c r="F38" s="7"/>
      <c r="G38" s="7"/>
    </row>
    <row r="39" spans="2:7" ht="24" customHeight="1" x14ac:dyDescent="0.15">
      <c r="B39" s="7"/>
      <c r="C39" s="7"/>
      <c r="D39" s="7"/>
      <c r="E39" s="7"/>
      <c r="F39" s="7"/>
      <c r="G39" s="7"/>
    </row>
    <row r="40" spans="2:7" ht="24" customHeight="1" x14ac:dyDescent="0.15">
      <c r="B40" s="7"/>
      <c r="C40" s="7"/>
      <c r="D40" s="7"/>
      <c r="E40" s="7"/>
      <c r="F40" s="7"/>
      <c r="G40" s="7"/>
    </row>
    <row r="41" spans="2:7" ht="24" customHeight="1" x14ac:dyDescent="0.15">
      <c r="B41" s="7"/>
      <c r="C41" s="7"/>
      <c r="D41" s="7"/>
      <c r="E41" s="7"/>
      <c r="F41" s="7"/>
      <c r="G41" s="7"/>
    </row>
    <row r="42" spans="2:7" ht="24" customHeight="1" x14ac:dyDescent="0.15">
      <c r="B42" s="7"/>
      <c r="C42" s="7"/>
      <c r="D42" s="7"/>
      <c r="E42" s="7"/>
      <c r="F42" s="7"/>
      <c r="G42" s="7"/>
    </row>
    <row r="43" spans="2:7" ht="24" customHeight="1" x14ac:dyDescent="0.15">
      <c r="B43" s="7"/>
      <c r="C43" s="7"/>
      <c r="D43" s="7"/>
      <c r="E43" s="7"/>
      <c r="F43" s="7"/>
      <c r="G43" s="7"/>
    </row>
    <row r="44" spans="2:7" ht="24" customHeight="1" x14ac:dyDescent="0.15">
      <c r="B44" s="7"/>
      <c r="C44" s="7"/>
      <c r="D44" s="7"/>
      <c r="E44" s="7"/>
      <c r="F44" s="7"/>
      <c r="G44" s="7"/>
    </row>
    <row r="45" spans="2:7" ht="14" customHeight="1" x14ac:dyDescent="0.15">
      <c r="B45" s="17"/>
      <c r="C45" s="17"/>
      <c r="D45" s="17"/>
      <c r="E45" s="17"/>
      <c r="F45" s="17"/>
      <c r="G45" s="17"/>
    </row>
    <row r="46" spans="2:7" ht="22" customHeight="1" x14ac:dyDescent="0.15">
      <c r="B46" s="6" t="s">
        <v>16</v>
      </c>
      <c r="C46" s="6"/>
      <c r="D46" s="6"/>
      <c r="E46" s="6"/>
      <c r="F46" s="6"/>
      <c r="G46" s="6"/>
    </row>
    <row r="47" spans="2:7" ht="19" customHeight="1" x14ac:dyDescent="0.15">
      <c r="B47" s="7" t="s">
        <v>17</v>
      </c>
      <c r="C47" s="7"/>
      <c r="D47" s="7"/>
      <c r="E47" s="7"/>
      <c r="F47" s="7"/>
      <c r="G47" s="7"/>
    </row>
    <row r="48" spans="2:7" ht="19" customHeight="1" x14ac:dyDescent="0.15">
      <c r="B48" s="7"/>
      <c r="C48" s="7"/>
      <c r="D48" s="7"/>
      <c r="E48" s="7"/>
      <c r="F48" s="7"/>
      <c r="G48" s="7"/>
    </row>
    <row r="49" spans="2:7" ht="19" customHeight="1" x14ac:dyDescent="0.15">
      <c r="B49" s="7"/>
      <c r="C49" s="7"/>
      <c r="D49" s="7"/>
      <c r="E49" s="7"/>
      <c r="F49" s="7"/>
      <c r="G49" s="7"/>
    </row>
    <row r="50" spans="2:7" ht="19" customHeight="1" x14ac:dyDescent="0.15">
      <c r="B50" s="7"/>
      <c r="C50" s="7"/>
      <c r="D50" s="7"/>
      <c r="E50" s="7"/>
      <c r="F50" s="7"/>
      <c r="G50" s="7"/>
    </row>
    <row r="51" spans="2:7" ht="19" customHeight="1" x14ac:dyDescent="0.15">
      <c r="B51" s="7"/>
      <c r="C51" s="7"/>
      <c r="D51" s="7"/>
      <c r="E51" s="7"/>
      <c r="F51" s="7"/>
      <c r="G51" s="7"/>
    </row>
    <row r="52" spans="2:7" ht="19" customHeight="1" x14ac:dyDescent="0.15">
      <c r="B52" s="7"/>
      <c r="C52" s="7"/>
      <c r="D52" s="7"/>
      <c r="E52" s="7"/>
      <c r="F52" s="7"/>
      <c r="G52" s="7"/>
    </row>
    <row r="53" spans="2:7" ht="19" customHeight="1" x14ac:dyDescent="0.15">
      <c r="B53" s="7"/>
      <c r="C53" s="7"/>
      <c r="D53" s="7"/>
      <c r="E53" s="7"/>
      <c r="F53" s="7"/>
      <c r="G53" s="7"/>
    </row>
    <row r="54" spans="2:7" ht="19" customHeight="1" x14ac:dyDescent="0.15">
      <c r="B54" s="7"/>
      <c r="C54" s="7"/>
      <c r="D54" s="7"/>
      <c r="E54" s="7"/>
      <c r="F54" s="7"/>
      <c r="G54" s="7"/>
    </row>
    <row r="55" spans="2:7" ht="19" customHeight="1" x14ac:dyDescent="0.15">
      <c r="B55" s="7"/>
      <c r="C55" s="7"/>
      <c r="D55" s="7"/>
      <c r="E55" s="7"/>
      <c r="F55" s="7"/>
      <c r="G55" s="7"/>
    </row>
    <row r="56" spans="2:7" ht="19" customHeight="1" x14ac:dyDescent="0.15">
      <c r="B56" s="7"/>
      <c r="C56" s="7"/>
      <c r="D56" s="7"/>
      <c r="E56" s="7"/>
      <c r="F56" s="7"/>
      <c r="G56" s="7"/>
    </row>
    <row r="57" spans="2:7" ht="14" customHeight="1" x14ac:dyDescent="0.15"/>
    <row r="58" spans="2:7" ht="22" customHeight="1" x14ac:dyDescent="0.15">
      <c r="B58" s="8" t="s">
        <v>18</v>
      </c>
      <c r="C58" s="8"/>
      <c r="D58" s="8"/>
      <c r="E58" s="8"/>
      <c r="F58" s="8"/>
      <c r="G58" s="8"/>
    </row>
    <row r="59" spans="2:7" ht="22" customHeight="1" x14ac:dyDescent="0.15">
      <c r="B59" s="7" t="s">
        <v>19</v>
      </c>
      <c r="C59" s="7"/>
      <c r="D59" s="7"/>
      <c r="E59" s="7"/>
      <c r="F59" s="7"/>
      <c r="G59" s="7"/>
    </row>
    <row r="60" spans="2:7" ht="22" customHeight="1" x14ac:dyDescent="0.15">
      <c r="B60" s="7"/>
      <c r="C60" s="7"/>
      <c r="D60" s="7"/>
      <c r="E60" s="7"/>
      <c r="F60" s="7"/>
      <c r="G60" s="7"/>
    </row>
    <row r="61" spans="2:7" ht="22" customHeight="1" x14ac:dyDescent="0.15">
      <c r="B61" s="7"/>
      <c r="C61" s="7"/>
      <c r="D61" s="7"/>
      <c r="E61" s="7"/>
      <c r="F61" s="7"/>
      <c r="G61" s="7"/>
    </row>
    <row r="62" spans="2:7" ht="22" customHeight="1" x14ac:dyDescent="0.15">
      <c r="B62" s="7"/>
      <c r="C62" s="7"/>
      <c r="D62" s="7"/>
      <c r="E62" s="7"/>
      <c r="F62" s="7"/>
      <c r="G62" s="7"/>
    </row>
    <row r="63" spans="2:7" ht="22" customHeight="1" x14ac:dyDescent="0.15">
      <c r="B63" s="7"/>
      <c r="C63" s="7"/>
      <c r="D63" s="7"/>
      <c r="E63" s="7"/>
      <c r="F63" s="7"/>
      <c r="G63" s="7"/>
    </row>
    <row r="64" spans="2:7" ht="22" customHeight="1" x14ac:dyDescent="0.15">
      <c r="B64" s="7"/>
      <c r="C64" s="7"/>
      <c r="D64" s="7"/>
      <c r="E64" s="7"/>
      <c r="F64" s="7"/>
      <c r="G64" s="7"/>
    </row>
    <row r="65" spans="2:7" ht="22" customHeight="1" x14ac:dyDescent="0.15">
      <c r="B65" s="7"/>
      <c r="C65" s="7"/>
      <c r="D65" s="7"/>
      <c r="E65" s="7"/>
      <c r="F65" s="7"/>
      <c r="G65" s="7"/>
    </row>
    <row r="66" spans="2:7" ht="22" customHeight="1" x14ac:dyDescent="0.15">
      <c r="B66" s="7"/>
      <c r="C66" s="7"/>
      <c r="D66" s="7"/>
      <c r="E66" s="7"/>
      <c r="F66" s="7"/>
      <c r="G66" s="7"/>
    </row>
    <row r="67" spans="2:7" ht="14" customHeight="1" x14ac:dyDescent="0.15"/>
    <row r="68" spans="2:7" ht="22" customHeight="1" x14ac:dyDescent="0.15">
      <c r="B68" s="8" t="s">
        <v>20</v>
      </c>
      <c r="C68" s="8"/>
      <c r="D68" s="8"/>
      <c r="E68" s="8"/>
      <c r="F68" s="8"/>
      <c r="G68" s="8"/>
    </row>
    <row r="69" spans="2:7" ht="38" customHeight="1" x14ac:dyDescent="0.15">
      <c r="B69" s="5" t="s">
        <v>21</v>
      </c>
      <c r="C69" s="5"/>
      <c r="D69" s="5"/>
      <c r="E69" s="5"/>
      <c r="F69" s="5"/>
      <c r="G69" s="5"/>
    </row>
    <row r="70" spans="2:7" ht="38" customHeight="1" x14ac:dyDescent="0.15">
      <c r="B70" s="5"/>
      <c r="C70" s="5"/>
      <c r="D70" s="5"/>
      <c r="E70" s="5"/>
      <c r="F70" s="5"/>
      <c r="G70" s="5"/>
    </row>
    <row r="71" spans="2:7" ht="38" customHeight="1" x14ac:dyDescent="0.15">
      <c r="B71" s="5"/>
      <c r="C71" s="5"/>
      <c r="D71" s="5"/>
      <c r="E71" s="5"/>
      <c r="F71" s="5"/>
      <c r="G71" s="5"/>
    </row>
    <row r="72" spans="2:7" ht="38" customHeight="1" x14ac:dyDescent="0.15">
      <c r="B72" s="5"/>
      <c r="C72" s="5"/>
      <c r="D72" s="5"/>
      <c r="E72" s="5"/>
      <c r="F72" s="5"/>
      <c r="G72" s="5"/>
    </row>
    <row r="73" spans="2:7" ht="38" customHeight="1" x14ac:dyDescent="0.15">
      <c r="B73" s="5"/>
      <c r="C73" s="5"/>
      <c r="D73" s="5"/>
      <c r="E73" s="5"/>
      <c r="F73" s="5"/>
      <c r="G73" s="5"/>
    </row>
    <row r="74" spans="2:7" ht="38" customHeight="1" x14ac:dyDescent="0.15">
      <c r="B74" s="5"/>
      <c r="C74" s="5"/>
      <c r="D74" s="5"/>
      <c r="E74" s="5"/>
      <c r="F74" s="5"/>
      <c r="G74" s="5"/>
    </row>
  </sheetData>
  <mergeCells count="22">
    <mergeCell ref="B47:G56"/>
    <mergeCell ref="B58:G58"/>
    <mergeCell ref="B59:G66"/>
    <mergeCell ref="B68:G68"/>
    <mergeCell ref="B69:G74"/>
    <mergeCell ref="B23:D31"/>
    <mergeCell ref="E23:G31"/>
    <mergeCell ref="B33:G33"/>
    <mergeCell ref="B34:G44"/>
    <mergeCell ref="B46:G46"/>
    <mergeCell ref="B12:D12"/>
    <mergeCell ref="E12:G12"/>
    <mergeCell ref="B13:D20"/>
    <mergeCell ref="E13:G20"/>
    <mergeCell ref="B22:D22"/>
    <mergeCell ref="E22:G22"/>
    <mergeCell ref="B1:G1"/>
    <mergeCell ref="B2:G2"/>
    <mergeCell ref="B4:D4"/>
    <mergeCell ref="E4:G4"/>
    <mergeCell ref="B5:D10"/>
    <mergeCell ref="E5:G10"/>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26"/>
  <sheetViews>
    <sheetView showGridLines="0" zoomScaleNormal="100" workbookViewId="0">
      <pane xSplit="2" ySplit="3" topLeftCell="C206" activePane="bottomRight" state="frozen"/>
      <selection pane="topRight" activeCell="C1" sqref="C1"/>
      <selection pane="bottomLeft" activeCell="A4" sqref="A4"/>
      <selection pane="bottomRight" activeCell="M51" sqref="M51"/>
    </sheetView>
  </sheetViews>
  <sheetFormatPr baseColWidth="10" defaultColWidth="15.6640625" defaultRowHeight="14" x14ac:dyDescent="0.15"/>
  <cols>
    <col min="1" max="1" width="2.1640625" style="18" customWidth="1"/>
    <col min="2" max="2" width="44.1640625" style="18" customWidth="1"/>
    <col min="3" max="5" width="15.6640625" style="18"/>
    <col min="6" max="6" width="18" customWidth="1"/>
    <col min="7" max="16384" width="15.6640625" style="18"/>
  </cols>
  <sheetData>
    <row r="1" spans="1:15" ht="26" customHeight="1" x14ac:dyDescent="0.15">
      <c r="A1" s="4" t="s">
        <v>22</v>
      </c>
      <c r="B1" s="4"/>
      <c r="C1" s="4"/>
      <c r="D1" s="4"/>
      <c r="E1" s="4"/>
      <c r="F1" s="4"/>
      <c r="G1" s="3" t="s">
        <v>23</v>
      </c>
      <c r="H1" s="3"/>
      <c r="I1" s="2" t="str">
        <f>G217</f>
        <v>PASS</v>
      </c>
      <c r="J1" s="2"/>
      <c r="K1" s="2"/>
    </row>
    <row r="2" spans="1:15" ht="15" customHeight="1" x14ac:dyDescent="0.15">
      <c r="A2" s="1" t="s">
        <v>24</v>
      </c>
      <c r="B2" s="1"/>
      <c r="C2" s="20" t="str">
        <f>""</f>
        <v/>
      </c>
      <c r="D2" s="20">
        <f>$K$11-2</f>
        <v>2023</v>
      </c>
      <c r="E2" s="20">
        <f t="shared" ref="E2:K2" si="0">D2+1</f>
        <v>2024</v>
      </c>
      <c r="F2" s="20">
        <f t="shared" si="0"/>
        <v>2025</v>
      </c>
      <c r="G2" s="21">
        <f>F2+2</f>
        <v>2027</v>
      </c>
      <c r="H2" s="20">
        <f>G2+1</f>
        <v>2028</v>
      </c>
      <c r="I2" s="20">
        <f>H2+1</f>
        <v>2029</v>
      </c>
      <c r="J2" s="20">
        <f>I2+1</f>
        <v>2030</v>
      </c>
      <c r="K2" s="20">
        <f>J2+1</f>
        <v>2031</v>
      </c>
    </row>
    <row r="3" spans="1:15" ht="15" customHeight="1" x14ac:dyDescent="0.15">
      <c r="A3" s="18" t="s">
        <v>25</v>
      </c>
      <c r="C3" s="20" t="str">
        <f>""</f>
        <v/>
      </c>
      <c r="D3" s="20" t="str">
        <f t="shared" ref="D3:K3" si="1">IF(D$2&lt;=$K$11,"A","E")</f>
        <v>A</v>
      </c>
      <c r="E3" s="20" t="str">
        <f t="shared" si="1"/>
        <v>A</v>
      </c>
      <c r="F3" s="20" t="str">
        <f t="shared" si="1"/>
        <v>A</v>
      </c>
      <c r="G3" s="20" t="str">
        <f>IF(G$2&lt;=$K$11,"A","E")</f>
        <v>E</v>
      </c>
      <c r="H3" s="20" t="str">
        <f>IF(H$2&lt;=$K$11,"A","E")</f>
        <v>E</v>
      </c>
      <c r="I3" s="20" t="str">
        <f>IF(I$2&lt;=$K$11,"A","E")</f>
        <v>E</v>
      </c>
      <c r="J3" s="20" t="str">
        <f>IF(J$2&lt;=$K$11,"A","E")</f>
        <v>E</v>
      </c>
      <c r="K3" s="20" t="str">
        <f>IF(K$2&lt;=$K$11,"A","E")</f>
        <v>E</v>
      </c>
    </row>
    <row r="4" spans="1:15" ht="15" customHeight="1" x14ac:dyDescent="0.15"/>
    <row r="5" spans="1:15" ht="15" customHeight="1" x14ac:dyDescent="0.15">
      <c r="B5" s="203" t="s">
        <v>26</v>
      </c>
      <c r="C5" s="203"/>
      <c r="D5" s="203"/>
      <c r="E5" s="203"/>
      <c r="F5" s="203"/>
      <c r="G5" s="203"/>
      <c r="H5" s="203"/>
      <c r="I5" s="203"/>
      <c r="J5" s="203"/>
      <c r="K5" s="203"/>
    </row>
    <row r="6" spans="1:15" ht="15" customHeight="1" x14ac:dyDescent="0.15"/>
    <row r="7" spans="1:15" ht="15" customHeight="1" x14ac:dyDescent="0.15">
      <c r="B7" s="204" t="s">
        <v>27</v>
      </c>
      <c r="C7" s="204"/>
      <c r="E7" s="205" t="s">
        <v>28</v>
      </c>
      <c r="F7" s="205"/>
      <c r="G7" s="205"/>
      <c r="I7" s="205" t="s">
        <v>29</v>
      </c>
      <c r="J7" s="205"/>
      <c r="K7" s="205"/>
    </row>
    <row r="8" spans="1:15" ht="15" customHeight="1" x14ac:dyDescent="0.15">
      <c r="B8" s="22" t="s">
        <v>30</v>
      </c>
      <c r="C8" s="23" t="s">
        <v>31</v>
      </c>
      <c r="E8" s="22" t="s">
        <v>32</v>
      </c>
      <c r="G8" s="24">
        <v>300</v>
      </c>
      <c r="I8" s="22" t="s">
        <v>33</v>
      </c>
      <c r="K8" s="25">
        <f>K$2</f>
        <v>2031</v>
      </c>
    </row>
    <row r="9" spans="1:15" ht="15" customHeight="1" x14ac:dyDescent="0.15">
      <c r="B9" s="22" t="s">
        <v>34</v>
      </c>
      <c r="C9" s="23" t="s">
        <v>35</v>
      </c>
      <c r="E9" s="22" t="s">
        <v>36</v>
      </c>
      <c r="G9" s="26">
        <v>0.01</v>
      </c>
      <c r="I9" s="22" t="s">
        <v>37</v>
      </c>
      <c r="K9" s="27">
        <f>C20</f>
        <v>12.951876654927849</v>
      </c>
    </row>
    <row r="10" spans="1:15" ht="15" customHeight="1" x14ac:dyDescent="0.15">
      <c r="B10" s="28" t="s">
        <v>38</v>
      </c>
      <c r="C10" s="29">
        <v>110.05</v>
      </c>
      <c r="E10" s="22" t="s">
        <v>39</v>
      </c>
      <c r="G10" s="26">
        <v>0</v>
      </c>
      <c r="I10" s="30" t="s">
        <v>40</v>
      </c>
      <c r="J10" s="31"/>
      <c r="K10" s="32">
        <v>0.03</v>
      </c>
    </row>
    <row r="11" spans="1:15" ht="15" customHeight="1" x14ac:dyDescent="0.15">
      <c r="B11" s="28" t="s">
        <v>41</v>
      </c>
      <c r="C11" s="26">
        <v>0.2</v>
      </c>
      <c r="E11" s="30" t="s">
        <v>42</v>
      </c>
      <c r="F11" s="31"/>
      <c r="G11" s="32">
        <v>1</v>
      </c>
      <c r="I11" s="206" t="s">
        <v>43</v>
      </c>
      <c r="J11" s="206"/>
      <c r="K11" s="33">
        <v>2025</v>
      </c>
    </row>
    <row r="12" spans="1:15" ht="15" customHeight="1" x14ac:dyDescent="0.15">
      <c r="B12" s="34" t="s">
        <v>44</v>
      </c>
      <c r="C12" s="35">
        <f>C10*(1+C11)</f>
        <v>132.06</v>
      </c>
      <c r="I12" s="205" t="s">
        <v>45</v>
      </c>
      <c r="J12" s="205"/>
      <c r="K12" s="205"/>
    </row>
    <row r="13" spans="1:15" ht="15" customHeight="1" x14ac:dyDescent="0.15">
      <c r="B13" s="28" t="s">
        <v>46</v>
      </c>
      <c r="C13" s="36">
        <v>51.876817000000003</v>
      </c>
      <c r="E13" s="205" t="s">
        <v>47</v>
      </c>
      <c r="F13" s="205"/>
      <c r="G13" s="205"/>
      <c r="I13" s="30" t="str">
        <f>"Controlled Circularity "&amp;IF(K13=1,"On","Off")</f>
        <v>Controlled Circularity On</v>
      </c>
      <c r="J13" s="31"/>
      <c r="K13" s="37">
        <v>1</v>
      </c>
      <c r="O13" s="19"/>
    </row>
    <row r="14" spans="1:15" ht="15" customHeight="1" x14ac:dyDescent="0.15">
      <c r="B14" s="38" t="s">
        <v>48</v>
      </c>
      <c r="C14" s="39">
        <f>C12*C13</f>
        <v>6850.8524530200002</v>
      </c>
      <c r="E14" s="28" t="s">
        <v>49</v>
      </c>
      <c r="G14" s="26">
        <v>0.04</v>
      </c>
      <c r="I14" s="206" t="s">
        <v>50</v>
      </c>
      <c r="J14" s="206"/>
      <c r="K14" s="33">
        <v>12</v>
      </c>
      <c r="O14" s="19"/>
    </row>
    <row r="15" spans="1:15" ht="15" customHeight="1" x14ac:dyDescent="0.15">
      <c r="B15" s="28" t="s">
        <v>51</v>
      </c>
      <c r="C15" s="36">
        <v>1679</v>
      </c>
      <c r="E15" s="28" t="s">
        <v>52</v>
      </c>
      <c r="G15" s="26">
        <v>0.21</v>
      </c>
      <c r="I15" s="206" t="s">
        <v>53</v>
      </c>
      <c r="J15" s="206"/>
      <c r="K15" s="33">
        <v>31</v>
      </c>
    </row>
    <row r="16" spans="1:15" ht="15" customHeight="1" x14ac:dyDescent="0.15">
      <c r="B16" s="28" t="s">
        <v>54</v>
      </c>
      <c r="C16" s="36">
        <v>0</v>
      </c>
      <c r="E16" s="34" t="s">
        <v>55</v>
      </c>
      <c r="F16" s="40"/>
      <c r="G16" s="41">
        <v>0.25</v>
      </c>
    </row>
    <row r="17" spans="2:11" ht="15" customHeight="1" x14ac:dyDescent="0.15">
      <c r="B17" s="28" t="s">
        <v>56</v>
      </c>
      <c r="C17" s="36">
        <v>-93</v>
      </c>
      <c r="E17" s="30" t="s">
        <v>57</v>
      </c>
      <c r="F17" s="31"/>
      <c r="G17" s="42">
        <v>50</v>
      </c>
    </row>
    <row r="18" spans="2:11" ht="15" customHeight="1" x14ac:dyDescent="0.15">
      <c r="B18" s="38" t="s">
        <v>58</v>
      </c>
      <c r="C18" s="39">
        <f>SUM(C14:C17)</f>
        <v>8436.8524530200011</v>
      </c>
    </row>
    <row r="19" spans="2:11" ht="15" customHeight="1" x14ac:dyDescent="0.15">
      <c r="B19" s="28" t="s">
        <v>59</v>
      </c>
      <c r="C19" s="24">
        <v>651.4</v>
      </c>
    </row>
    <row r="20" spans="2:11" ht="15" customHeight="1" x14ac:dyDescent="0.15">
      <c r="B20" s="43" t="s">
        <v>60</v>
      </c>
      <c r="C20" s="44">
        <f>C18/C19</f>
        <v>12.951876654927849</v>
      </c>
    </row>
    <row r="22" spans="2:11" ht="15" customHeight="1" x14ac:dyDescent="0.15">
      <c r="B22" s="203" t="s">
        <v>61</v>
      </c>
      <c r="C22" s="203"/>
      <c r="D22" s="203"/>
      <c r="E22" s="203"/>
      <c r="F22" s="203"/>
      <c r="G22" s="203"/>
      <c r="H22" s="203"/>
      <c r="I22" s="203"/>
      <c r="J22" s="203"/>
      <c r="K22" s="203"/>
    </row>
    <row r="24" spans="2:11" ht="15" customHeight="1" x14ac:dyDescent="0.15">
      <c r="B24" s="45" t="s">
        <v>62</v>
      </c>
      <c r="C24" s="46" t="s">
        <v>63</v>
      </c>
      <c r="D24" s="46" t="s">
        <v>64</v>
      </c>
      <c r="E24" s="46" t="s">
        <v>65</v>
      </c>
      <c r="F24" s="46" t="s">
        <v>66</v>
      </c>
      <c r="G24" s="46" t="s">
        <v>67</v>
      </c>
      <c r="H24" s="46" t="s">
        <v>68</v>
      </c>
      <c r="I24" s="46" t="s">
        <v>69</v>
      </c>
      <c r="J24" s="46" t="s">
        <v>70</v>
      </c>
      <c r="K24" s="46" t="s">
        <v>71</v>
      </c>
    </row>
    <row r="25" spans="2:11" ht="15" customHeight="1" x14ac:dyDescent="0.15">
      <c r="B25" s="47" t="str">
        <f>+"New Revolving Credit Facility ($"&amp;G8&amp;")"</f>
        <v>New Revolving Credit Facility ($300)</v>
      </c>
      <c r="C25" s="48">
        <v>0</v>
      </c>
      <c r="D25" s="49">
        <f>+C25/$C$19</f>
        <v>0</v>
      </c>
      <c r="E25" s="50">
        <v>0</v>
      </c>
      <c r="F25" s="51">
        <v>5</v>
      </c>
      <c r="G25" s="52">
        <v>350</v>
      </c>
      <c r="H25" s="50">
        <v>0</v>
      </c>
      <c r="I25" s="53">
        <f>+$C25*H25</f>
        <v>0</v>
      </c>
      <c r="J25" s="50">
        <v>1.2500000000000001E-2</v>
      </c>
      <c r="K25" s="53">
        <f>+$G8*J25</f>
        <v>3.75</v>
      </c>
    </row>
    <row r="26" spans="2:11" ht="15" customHeight="1" x14ac:dyDescent="0.15">
      <c r="B26" s="47" t="s">
        <v>72</v>
      </c>
      <c r="C26" s="54">
        <f>$C$19*4.5</f>
        <v>2931.2999999999997</v>
      </c>
      <c r="D26" s="49">
        <f>+C26/$C$19</f>
        <v>4.5</v>
      </c>
      <c r="E26" s="50">
        <v>0.01</v>
      </c>
      <c r="F26" s="51">
        <v>7</v>
      </c>
      <c r="G26" s="52">
        <v>375</v>
      </c>
      <c r="H26" s="50">
        <v>0.01</v>
      </c>
      <c r="I26" s="53">
        <f>+$C26*H26</f>
        <v>29.312999999999999</v>
      </c>
      <c r="J26" s="50">
        <v>2.2499999999999999E-2</v>
      </c>
      <c r="K26" s="53">
        <f>+$C26*J26</f>
        <v>65.954249999999988</v>
      </c>
    </row>
    <row r="27" spans="2:11" ht="15" customHeight="1" x14ac:dyDescent="0.15">
      <c r="B27" s="47" t="s">
        <v>73</v>
      </c>
      <c r="C27" s="54">
        <v>355</v>
      </c>
      <c r="D27" s="49">
        <f>+C27/$C$19</f>
        <v>0.54498004298434144</v>
      </c>
      <c r="E27" s="50">
        <v>0</v>
      </c>
      <c r="F27" s="51">
        <v>8</v>
      </c>
      <c r="G27" s="50">
        <v>7.4999999999999997E-2</v>
      </c>
      <c r="H27" s="50">
        <v>0</v>
      </c>
      <c r="I27" s="53">
        <f>+$C27*H27</f>
        <v>0</v>
      </c>
      <c r="J27" s="50">
        <v>0.03</v>
      </c>
      <c r="K27" s="53">
        <f>+$C27*J27</f>
        <v>10.65</v>
      </c>
    </row>
    <row r="28" spans="2:11" ht="15" customHeight="1" x14ac:dyDescent="0.15">
      <c r="B28" s="47" t="s">
        <v>74</v>
      </c>
      <c r="C28" s="53">
        <f>+C17*-1</f>
        <v>93</v>
      </c>
      <c r="D28" s="49">
        <f>+C28/$C$19</f>
        <v>0.14276941971139084</v>
      </c>
      <c r="E28" s="55"/>
      <c r="H28" s="56"/>
      <c r="I28" s="53"/>
      <c r="J28" s="56"/>
      <c r="K28" s="53"/>
    </row>
    <row r="29" spans="2:11" ht="15" customHeight="1" x14ac:dyDescent="0.15">
      <c r="B29" s="47" t="s">
        <v>75</v>
      </c>
      <c r="C29" s="53">
        <f>+C38-SUM(C25:C28)</f>
        <v>5394.5882275502026</v>
      </c>
      <c r="D29" s="49">
        <f>+C29/$C$19</f>
        <v>8.2815293637553005</v>
      </c>
      <c r="E29" s="55"/>
      <c r="H29" s="56"/>
      <c r="I29" s="53"/>
      <c r="J29" s="56"/>
      <c r="K29" s="53"/>
    </row>
    <row r="30" spans="2:11" ht="15" customHeight="1" x14ac:dyDescent="0.15">
      <c r="B30" s="40" t="s">
        <v>76</v>
      </c>
      <c r="C30" s="57">
        <f>+SUM(C25:C29)</f>
        <v>8773.8882275502019</v>
      </c>
      <c r="D30" s="58">
        <f>+SUM(D25:D29)</f>
        <v>13.469278826451031</v>
      </c>
      <c r="E30" s="59"/>
      <c r="F30" s="40"/>
      <c r="G30" s="40"/>
      <c r="H30" s="60"/>
      <c r="I30" s="61">
        <f>+SUM(I25:I29)</f>
        <v>29.312999999999999</v>
      </c>
      <c r="J30" s="61"/>
      <c r="K30" s="61">
        <f>+SUM(K25:K29)</f>
        <v>80.354249999999993</v>
      </c>
    </row>
    <row r="32" spans="2:11" ht="15" customHeight="1" x14ac:dyDescent="0.15">
      <c r="B32" s="45" t="s">
        <v>77</v>
      </c>
      <c r="C32" s="46" t="s">
        <v>63</v>
      </c>
      <c r="D32" s="46" t="s">
        <v>64</v>
      </c>
    </row>
    <row r="33" spans="2:11" ht="15" customHeight="1" x14ac:dyDescent="0.15">
      <c r="B33" s="47" t="s">
        <v>78</v>
      </c>
      <c r="C33" s="62">
        <f>+C14</f>
        <v>6850.8524530200002</v>
      </c>
      <c r="D33" s="49">
        <f>+C33/$C$19</f>
        <v>10.517120744580904</v>
      </c>
    </row>
    <row r="34" spans="2:11" ht="15" customHeight="1" x14ac:dyDescent="0.15">
      <c r="B34" s="47" t="s">
        <v>79</v>
      </c>
      <c r="C34" s="63">
        <f>+SUM(C15:C16)</f>
        <v>1679</v>
      </c>
      <c r="D34" s="49">
        <f>+C34/$C$19</f>
        <v>2.5775253300583358</v>
      </c>
    </row>
    <row r="35" spans="2:11" ht="15" customHeight="1" x14ac:dyDescent="0.15">
      <c r="B35" s="47" t="s">
        <v>80</v>
      </c>
      <c r="C35" s="63">
        <f>+G17</f>
        <v>50</v>
      </c>
      <c r="D35" s="49">
        <f>+C35/$C$19</f>
        <v>7.6757752533005832E-2</v>
      </c>
    </row>
    <row r="36" spans="2:11" ht="15" customHeight="1" x14ac:dyDescent="0.15">
      <c r="B36" s="47" t="s">
        <v>81</v>
      </c>
      <c r="C36" s="54">
        <f>$C$18*1%</f>
        <v>84.36852453020002</v>
      </c>
      <c r="D36" s="49">
        <f>+C36/$C$19</f>
        <v>0.12951876654927852</v>
      </c>
    </row>
    <row r="37" spans="2:11" ht="15" customHeight="1" x14ac:dyDescent="0.15">
      <c r="B37" s="47" t="s">
        <v>82</v>
      </c>
      <c r="C37" s="53">
        <f>+SUM(I30,K30)</f>
        <v>109.66725</v>
      </c>
      <c r="D37" s="49">
        <f>+C37/$C$19</f>
        <v>0.16835623272950567</v>
      </c>
      <c r="E37" s="20" t="s">
        <v>83</v>
      </c>
    </row>
    <row r="38" spans="2:11" ht="15" customHeight="1" x14ac:dyDescent="0.15">
      <c r="B38" s="40" t="s">
        <v>84</v>
      </c>
      <c r="C38" s="57">
        <f>+SUM(C33:C37)</f>
        <v>8773.8882275502019</v>
      </c>
      <c r="D38" s="58">
        <f>+SUM(D33:D37)</f>
        <v>13.469278826451029</v>
      </c>
      <c r="E38" s="64" t="str">
        <f>IF(ABS(C38-C30)&lt;=0.01,"YES","NO")</f>
        <v>YES</v>
      </c>
    </row>
    <row r="40" spans="2:11" ht="15" customHeight="1" x14ac:dyDescent="0.15">
      <c r="B40" s="203" t="s">
        <v>85</v>
      </c>
      <c r="C40" s="203"/>
      <c r="D40" s="203"/>
      <c r="E40" s="203"/>
      <c r="F40" s="203"/>
      <c r="G40" s="203"/>
      <c r="H40" s="203"/>
      <c r="I40" s="203"/>
      <c r="J40" s="203"/>
      <c r="K40" s="203"/>
    </row>
    <row r="42" spans="2:11" ht="15" customHeight="1" x14ac:dyDescent="0.15">
      <c r="B42" s="207" t="s">
        <v>86</v>
      </c>
      <c r="C42" s="207"/>
      <c r="D42" s="207"/>
      <c r="E42" s="207"/>
      <c r="F42" s="207"/>
      <c r="G42" s="207"/>
      <c r="H42" s="207"/>
      <c r="I42" s="207"/>
      <c r="J42" s="207"/>
      <c r="K42" s="207"/>
    </row>
    <row r="43" spans="2:11" ht="15" customHeight="1" x14ac:dyDescent="0.15">
      <c r="B43" s="65"/>
      <c r="G43" s="65"/>
      <c r="K43" s="66"/>
    </row>
    <row r="44" spans="2:11" ht="15" customHeight="1" x14ac:dyDescent="0.15">
      <c r="B44" s="65"/>
      <c r="C44" s="67" t="str">
        <f>""</f>
        <v/>
      </c>
      <c r="D44" s="67" t="str">
        <f t="shared" ref="D44:K44" si="2">D$2&amp;D$3</f>
        <v>2023A</v>
      </c>
      <c r="E44" s="67" t="str">
        <f t="shared" si="2"/>
        <v>2024A</v>
      </c>
      <c r="F44" s="67" t="str">
        <f t="shared" si="2"/>
        <v>2025A</v>
      </c>
      <c r="G44" s="68" t="str">
        <f t="shared" si="2"/>
        <v>2027E</v>
      </c>
      <c r="H44" s="67" t="str">
        <f t="shared" si="2"/>
        <v>2028E</v>
      </c>
      <c r="I44" s="67" t="str">
        <f t="shared" si="2"/>
        <v>2029E</v>
      </c>
      <c r="J44" s="67" t="str">
        <f t="shared" si="2"/>
        <v>2030E</v>
      </c>
      <c r="K44" s="69" t="str">
        <f t="shared" si="2"/>
        <v>2031E</v>
      </c>
    </row>
    <row r="45" spans="2:11" ht="15" customHeight="1" x14ac:dyDescent="0.15">
      <c r="B45" s="70" t="s">
        <v>87</v>
      </c>
      <c r="C45" s="71" t="str">
        <f>""</f>
        <v/>
      </c>
      <c r="D45" s="72" t="str">
        <f>""</f>
        <v/>
      </c>
      <c r="E45" s="71">
        <f t="shared" ref="E45:F48" si="3">IFERROR(E89/D89-1,0)</f>
        <v>-1.3015455853826352E-2</v>
      </c>
      <c r="F45" s="71">
        <f t="shared" si="3"/>
        <v>8.8061877892601448E-2</v>
      </c>
      <c r="G45" s="73">
        <v>0.06</v>
      </c>
      <c r="H45" s="74">
        <v>0.06</v>
      </c>
      <c r="I45" s="74">
        <v>0.06</v>
      </c>
      <c r="J45" s="74">
        <v>0.06</v>
      </c>
      <c r="K45" s="75">
        <v>0.06</v>
      </c>
    </row>
    <row r="46" spans="2:11" ht="15" customHeight="1" x14ac:dyDescent="0.15">
      <c r="B46" s="70" t="s">
        <v>88</v>
      </c>
      <c r="C46" s="71" t="str">
        <f>""</f>
        <v/>
      </c>
      <c r="D46" s="72" t="str">
        <f>""</f>
        <v/>
      </c>
      <c r="E46" s="71">
        <f t="shared" si="3"/>
        <v>-1.297698130696745E-2</v>
      </c>
      <c r="F46" s="71">
        <f t="shared" si="3"/>
        <v>8.6241978400375618E-2</v>
      </c>
      <c r="G46" s="73">
        <v>0.06</v>
      </c>
      <c r="H46" s="74">
        <v>0.06</v>
      </c>
      <c r="I46" s="74">
        <v>0.06</v>
      </c>
      <c r="J46" s="74">
        <v>0.06</v>
      </c>
      <c r="K46" s="75">
        <v>0.06</v>
      </c>
    </row>
    <row r="47" spans="2:11" ht="15" customHeight="1" x14ac:dyDescent="0.15">
      <c r="B47" s="70" t="s">
        <v>89</v>
      </c>
      <c r="C47" s="71" t="str">
        <f>""</f>
        <v/>
      </c>
      <c r="D47" s="72" t="str">
        <f>""</f>
        <v/>
      </c>
      <c r="E47" s="71">
        <f t="shared" si="3"/>
        <v>0</v>
      </c>
      <c r="F47" s="71">
        <f t="shared" si="3"/>
        <v>0</v>
      </c>
      <c r="G47" s="73">
        <v>0</v>
      </c>
      <c r="H47" s="74">
        <v>0</v>
      </c>
      <c r="I47" s="74">
        <v>0</v>
      </c>
      <c r="J47" s="74">
        <v>0</v>
      </c>
      <c r="K47" s="75">
        <v>0</v>
      </c>
    </row>
    <row r="48" spans="2:11" ht="15" customHeight="1" x14ac:dyDescent="0.15">
      <c r="B48" s="76" t="s">
        <v>90</v>
      </c>
      <c r="C48" s="60" t="str">
        <f>""</f>
        <v/>
      </c>
      <c r="D48" s="77" t="str">
        <f>""</f>
        <v/>
      </c>
      <c r="E48" s="60">
        <f t="shared" si="3"/>
        <v>-1.2994350282485856E-2</v>
      </c>
      <c r="F48" s="60">
        <f t="shared" si="3"/>
        <v>8.7063537492844789E-2</v>
      </c>
      <c r="G48" s="78">
        <f>G92/'Revenue Build'!E8-1</f>
        <v>5.9999999999999831E-2</v>
      </c>
      <c r="H48" s="79">
        <f>H92/G92-1</f>
        <v>6.0000000000000275E-2</v>
      </c>
      <c r="I48" s="79">
        <f>I92/H92-1</f>
        <v>5.9999999999999831E-2</v>
      </c>
      <c r="J48" s="79">
        <f>J92/I92-1</f>
        <v>6.0000000000000053E-2</v>
      </c>
      <c r="K48" s="80">
        <f>K92/J92-1</f>
        <v>6.0000000000000053E-2</v>
      </c>
    </row>
    <row r="49" spans="2:11" ht="15" customHeight="1" x14ac:dyDescent="0.15">
      <c r="B49" s="65"/>
      <c r="C49" s="81"/>
      <c r="D49" s="81"/>
      <c r="E49" s="81"/>
      <c r="F49" s="81"/>
      <c r="G49" s="82"/>
      <c r="H49" s="83"/>
      <c r="I49" s="83"/>
      <c r="J49" s="83"/>
      <c r="K49" s="84"/>
    </row>
    <row r="50" spans="2:11" ht="15" customHeight="1" x14ac:dyDescent="0.15">
      <c r="B50" s="85" t="s">
        <v>91</v>
      </c>
      <c r="C50" s="86" t="str">
        <f>""</f>
        <v/>
      </c>
      <c r="D50" s="71">
        <v>0.35</v>
      </c>
      <c r="E50" s="71">
        <v>0.35</v>
      </c>
      <c r="F50" s="71">
        <v>0.35137696803749102</v>
      </c>
      <c r="G50" s="73">
        <v>0.35499999999999998</v>
      </c>
      <c r="H50" s="74">
        <v>0.35899999999999999</v>
      </c>
      <c r="I50" s="74">
        <v>0.35799999999999998</v>
      </c>
      <c r="J50" s="74">
        <v>0.35649999999999998</v>
      </c>
      <c r="K50" s="75">
        <v>0.35499999999999998</v>
      </c>
    </row>
    <row r="51" spans="2:11" ht="15" customHeight="1" x14ac:dyDescent="0.15">
      <c r="B51" s="65"/>
      <c r="C51" s="81"/>
      <c r="D51" s="81"/>
      <c r="E51" s="81"/>
      <c r="F51" s="81"/>
      <c r="G51" s="82"/>
      <c r="H51" s="83"/>
      <c r="I51" s="83"/>
      <c r="J51" s="83"/>
      <c r="K51" s="84"/>
    </row>
    <row r="52" spans="2:11" ht="15" customHeight="1" x14ac:dyDescent="0.15">
      <c r="B52" s="87" t="s">
        <v>92</v>
      </c>
      <c r="C52" s="88" t="str">
        <f>""</f>
        <v/>
      </c>
      <c r="D52" s="89">
        <v>0.259604519774011</v>
      </c>
      <c r="E52" s="89">
        <v>0.26159129937034897</v>
      </c>
      <c r="F52" s="89">
        <v>0.26338792059396599</v>
      </c>
      <c r="G52" s="90">
        <f>G50+G60-'Revenue Build'!F17</f>
        <v>0.23399999999999999</v>
      </c>
      <c r="H52" s="91">
        <f>H50+H60-'Revenue Build'!G17</f>
        <v>0.22199999999999998</v>
      </c>
      <c r="I52" s="91">
        <f>I50+I60-'Revenue Build'!H17</f>
        <v>0.21899999999999997</v>
      </c>
      <c r="J52" s="91">
        <f>J50+J60-'Revenue Build'!I17</f>
        <v>0.215</v>
      </c>
      <c r="K52" s="92">
        <f>K50+K60-'Revenue Build'!J17</f>
        <v>0.21</v>
      </c>
    </row>
    <row r="53" spans="2:11" x14ac:dyDescent="0.15">
      <c r="C53" s="81"/>
      <c r="D53" s="81"/>
      <c r="E53" s="81"/>
      <c r="F53" s="81"/>
    </row>
    <row r="54" spans="2:11" ht="15" customHeight="1" x14ac:dyDescent="0.15">
      <c r="B54" s="207" t="s">
        <v>93</v>
      </c>
      <c r="C54" s="207"/>
      <c r="D54" s="207"/>
      <c r="E54" s="207"/>
      <c r="F54" s="207"/>
      <c r="G54" s="207"/>
      <c r="H54" s="207"/>
      <c r="I54" s="207"/>
      <c r="J54" s="207"/>
      <c r="K54" s="207"/>
    </row>
    <row r="55" spans="2:11" ht="15" customHeight="1" x14ac:dyDescent="0.15">
      <c r="B55" s="65"/>
      <c r="C55" s="81"/>
      <c r="D55" s="81"/>
      <c r="E55" s="81"/>
      <c r="F55" s="81"/>
      <c r="G55" s="65"/>
      <c r="K55" s="66"/>
    </row>
    <row r="56" spans="2:11" ht="15" customHeight="1" x14ac:dyDescent="0.15">
      <c r="B56" s="65"/>
      <c r="C56" s="67" t="str">
        <f>""</f>
        <v/>
      </c>
      <c r="D56" s="67" t="str">
        <f t="shared" ref="D56:K56" si="4">D$2&amp;D$3</f>
        <v>2023A</v>
      </c>
      <c r="E56" s="67" t="str">
        <f t="shared" si="4"/>
        <v>2024A</v>
      </c>
      <c r="F56" s="67" t="str">
        <f t="shared" si="4"/>
        <v>2025A</v>
      </c>
      <c r="G56" s="68" t="str">
        <f t="shared" si="4"/>
        <v>2027E</v>
      </c>
      <c r="H56" s="67" t="str">
        <f t="shared" si="4"/>
        <v>2028E</v>
      </c>
      <c r="I56" s="67" t="str">
        <f t="shared" si="4"/>
        <v>2029E</v>
      </c>
      <c r="J56" s="67" t="str">
        <f t="shared" si="4"/>
        <v>2030E</v>
      </c>
      <c r="K56" s="69" t="str">
        <f t="shared" si="4"/>
        <v>2031E</v>
      </c>
    </row>
    <row r="57" spans="2:11" ht="15" customHeight="1" x14ac:dyDescent="0.15">
      <c r="B57" s="65"/>
      <c r="C57" s="81"/>
      <c r="D57" s="81"/>
      <c r="E57" s="81"/>
      <c r="F57" s="81"/>
      <c r="G57" s="82"/>
      <c r="H57" s="83"/>
      <c r="I57" s="83"/>
      <c r="J57" s="83"/>
      <c r="K57" s="84"/>
    </row>
    <row r="58" spans="2:11" ht="15" customHeight="1" x14ac:dyDescent="0.15">
      <c r="B58" s="70" t="s">
        <v>94</v>
      </c>
      <c r="C58" s="93" t="str">
        <f>""</f>
        <v/>
      </c>
      <c r="D58" s="71">
        <f t="shared" ref="D58:F59" si="5">IFERROR(D114/D$92,0)</f>
        <v>2.6836158192090395E-2</v>
      </c>
      <c r="E58" s="71">
        <f t="shared" si="5"/>
        <v>2.4327418431597022E-2</v>
      </c>
      <c r="F58" s="71">
        <f t="shared" si="5"/>
        <v>3.2910325943868148E-2</v>
      </c>
      <c r="G58" s="73">
        <v>2.5000000000000001E-2</v>
      </c>
      <c r="H58" s="74">
        <v>2.5000000000000001E-2</v>
      </c>
      <c r="I58" s="74">
        <v>2.5000000000000001E-2</v>
      </c>
      <c r="J58" s="74">
        <v>2.5000000000000001E-2</v>
      </c>
      <c r="K58" s="75">
        <v>2.5000000000000001E-2</v>
      </c>
    </row>
    <row r="59" spans="2:11" ht="15" customHeight="1" x14ac:dyDescent="0.15">
      <c r="B59" s="70" t="s">
        <v>95</v>
      </c>
      <c r="C59" s="93" t="str">
        <f>""</f>
        <v/>
      </c>
      <c r="D59" s="71">
        <f t="shared" si="5"/>
        <v>2.6836158192090395E-2</v>
      </c>
      <c r="E59" s="71">
        <f t="shared" si="5"/>
        <v>2.4356038923869488E-2</v>
      </c>
      <c r="F59" s="71">
        <f t="shared" si="5"/>
        <v>3.7175504186193462E-2</v>
      </c>
      <c r="G59" s="73">
        <v>0.04</v>
      </c>
      <c r="H59" s="74">
        <v>3.9E-2</v>
      </c>
      <c r="I59" s="74">
        <v>3.7999999999999999E-2</v>
      </c>
      <c r="J59" s="74">
        <v>3.6999999999999998E-2</v>
      </c>
      <c r="K59" s="75">
        <v>3.5000000000000003E-2</v>
      </c>
    </row>
    <row r="60" spans="2:11" ht="15" customHeight="1" x14ac:dyDescent="0.15">
      <c r="B60" s="76" t="s">
        <v>96</v>
      </c>
      <c r="C60" s="40" t="str">
        <f>""</f>
        <v/>
      </c>
      <c r="D60" s="60">
        <f t="shared" ref="D60:K60" si="6">SUM(D58:D59)</f>
        <v>5.3672316384180789E-2</v>
      </c>
      <c r="E60" s="60">
        <f t="shared" si="6"/>
        <v>4.868345735546651E-2</v>
      </c>
      <c r="F60" s="60">
        <f t="shared" si="6"/>
        <v>7.0085830130061616E-2</v>
      </c>
      <c r="G60" s="78">
        <f t="shared" si="6"/>
        <v>6.5000000000000002E-2</v>
      </c>
      <c r="H60" s="79">
        <f t="shared" si="6"/>
        <v>6.4000000000000001E-2</v>
      </c>
      <c r="I60" s="79">
        <f t="shared" si="6"/>
        <v>6.3E-2</v>
      </c>
      <c r="J60" s="79">
        <f t="shared" si="6"/>
        <v>6.2E-2</v>
      </c>
      <c r="K60" s="80">
        <f t="shared" si="6"/>
        <v>6.0000000000000005E-2</v>
      </c>
    </row>
    <row r="61" spans="2:11" ht="15" customHeight="1" x14ac:dyDescent="0.15">
      <c r="B61" s="65"/>
      <c r="C61" s="81"/>
      <c r="D61" s="81"/>
      <c r="E61" s="81"/>
      <c r="F61" s="81"/>
      <c r="G61" s="82"/>
      <c r="H61" s="83"/>
      <c r="I61" s="83"/>
      <c r="J61" s="83"/>
      <c r="K61" s="84"/>
    </row>
    <row r="62" spans="2:11" ht="15" customHeight="1" x14ac:dyDescent="0.15">
      <c r="B62" s="70" t="s">
        <v>97</v>
      </c>
      <c r="C62" s="93" t="str">
        <f>""</f>
        <v/>
      </c>
      <c r="D62" s="71">
        <f t="shared" ref="D62:F64" si="7">IFERROR(D145/D$92,0)</f>
        <v>1.8361581920903956E-2</v>
      </c>
      <c r="E62" s="71">
        <f t="shared" si="7"/>
        <v>1.7172295363480253E-2</v>
      </c>
      <c r="F62" s="71">
        <f t="shared" si="7"/>
        <v>1.363803907113896E-2</v>
      </c>
      <c r="G62" s="73">
        <v>1.4999999999999999E-2</v>
      </c>
      <c r="H62" s="74">
        <v>1.4999999999999999E-2</v>
      </c>
      <c r="I62" s="74">
        <v>1.4999999999999999E-2</v>
      </c>
      <c r="J62" s="74">
        <v>1.4999999999999999E-2</v>
      </c>
      <c r="K62" s="75">
        <v>1.4999999999999999E-2</v>
      </c>
    </row>
    <row r="63" spans="2:11" ht="15" customHeight="1" x14ac:dyDescent="0.15">
      <c r="B63" s="70" t="s">
        <v>98</v>
      </c>
      <c r="C63" s="93" t="str">
        <f>""</f>
        <v/>
      </c>
      <c r="D63" s="71">
        <f t="shared" si="7"/>
        <v>1.8361581920903956E-2</v>
      </c>
      <c r="E63" s="71">
        <f t="shared" si="7"/>
        <v>1.7172295363480253E-2</v>
      </c>
      <c r="F63" s="71">
        <f t="shared" si="7"/>
        <v>1.363803907113896E-2</v>
      </c>
      <c r="G63" s="73">
        <v>1.4999999999999999E-2</v>
      </c>
      <c r="H63" s="74">
        <v>1.4999999999999999E-2</v>
      </c>
      <c r="I63" s="74">
        <v>1.4999999999999999E-2</v>
      </c>
      <c r="J63" s="74">
        <v>1.4999999999999999E-2</v>
      </c>
      <c r="K63" s="75">
        <v>1.4999999999999999E-2</v>
      </c>
    </row>
    <row r="64" spans="2:11" ht="15" customHeight="1" x14ac:dyDescent="0.15">
      <c r="B64" s="76" t="s">
        <v>99</v>
      </c>
      <c r="C64" s="40" t="str">
        <f>""</f>
        <v/>
      </c>
      <c r="D64" s="79">
        <f t="shared" si="7"/>
        <v>3.6723163841807911E-2</v>
      </c>
      <c r="E64" s="79">
        <f t="shared" si="7"/>
        <v>3.4344590726960507E-2</v>
      </c>
      <c r="F64" s="79">
        <f t="shared" si="7"/>
        <v>2.7276078142277921E-2</v>
      </c>
      <c r="G64" s="78">
        <f>SUM(G62:G63)</f>
        <v>0.03</v>
      </c>
      <c r="H64" s="79">
        <f>SUM(H62:H63)</f>
        <v>0.03</v>
      </c>
      <c r="I64" s="79">
        <f>SUM(I62:I63)</f>
        <v>0.03</v>
      </c>
      <c r="J64" s="79">
        <f>SUM(J62:J63)</f>
        <v>0.03</v>
      </c>
      <c r="K64" s="80">
        <f>SUM(K62:K63)</f>
        <v>0.03</v>
      </c>
    </row>
    <row r="65" spans="2:11" ht="15" customHeight="1" x14ac:dyDescent="0.15">
      <c r="B65" s="65"/>
      <c r="C65" s="81"/>
      <c r="D65" s="81"/>
      <c r="E65" s="81"/>
      <c r="F65" s="81"/>
      <c r="K65" s="66"/>
    </row>
    <row r="66" spans="2:11" ht="15" customHeight="1" x14ac:dyDescent="0.15">
      <c r="B66" s="94" t="s">
        <v>100</v>
      </c>
      <c r="C66" s="95" t="str">
        <f>""</f>
        <v/>
      </c>
      <c r="D66" s="89">
        <v>6.5000000000000002E-2</v>
      </c>
      <c r="E66" s="89">
        <v>6.5000000000000002E-2</v>
      </c>
      <c r="F66" s="89">
        <v>6.5000000000000002E-2</v>
      </c>
      <c r="G66" s="90">
        <v>6.5000000000000002E-2</v>
      </c>
      <c r="H66" s="91">
        <v>6.5000000000000002E-2</v>
      </c>
      <c r="I66" s="91">
        <v>6.5000000000000002E-2</v>
      </c>
      <c r="J66" s="91">
        <v>6.5000000000000002E-2</v>
      </c>
      <c r="K66" s="92">
        <v>6.5000000000000002E-2</v>
      </c>
    </row>
    <row r="68" spans="2:11" ht="15" customHeight="1" x14ac:dyDescent="0.15">
      <c r="B68" s="207" t="s">
        <v>101</v>
      </c>
      <c r="C68" s="207"/>
      <c r="D68" s="207"/>
      <c r="E68" s="207"/>
      <c r="F68" s="207"/>
      <c r="G68" s="207"/>
      <c r="H68" s="207"/>
      <c r="I68" s="207"/>
      <c r="J68" s="207"/>
      <c r="K68" s="207"/>
    </row>
    <row r="69" spans="2:11" ht="18" customHeight="1" x14ac:dyDescent="0.15">
      <c r="B69" s="96" t="s">
        <v>102</v>
      </c>
      <c r="C69" s="97"/>
      <c r="D69" s="97"/>
      <c r="E69" s="97"/>
      <c r="F69" s="98">
        <v>3.9300000000000002E-2</v>
      </c>
      <c r="G69" s="99">
        <v>3.9800000000000002E-2</v>
      </c>
      <c r="H69" s="98">
        <v>3.9849999999999997E-2</v>
      </c>
      <c r="I69" s="98">
        <v>4.0399999999999998E-2</v>
      </c>
      <c r="J69" s="98">
        <v>4.1450000000000001E-2</v>
      </c>
      <c r="K69" s="100">
        <v>4.2750000000000003E-2</v>
      </c>
    </row>
    <row r="71" spans="2:11" ht="15" customHeight="1" x14ac:dyDescent="0.15">
      <c r="B71" s="203" t="s">
        <v>103</v>
      </c>
      <c r="C71" s="203"/>
      <c r="D71" s="203"/>
      <c r="E71" s="203"/>
      <c r="F71" s="203"/>
      <c r="G71" s="203"/>
      <c r="H71" s="203"/>
      <c r="I71" s="203"/>
      <c r="J71" s="203"/>
      <c r="K71" s="203"/>
    </row>
    <row r="73" spans="2:11" ht="15" customHeight="1" x14ac:dyDescent="0.15">
      <c r="C73" s="46"/>
      <c r="D73" s="46"/>
      <c r="E73" s="46"/>
      <c r="F73" s="46"/>
      <c r="G73" s="67" t="str">
        <f>G$2&amp;G$3</f>
        <v>2027E</v>
      </c>
      <c r="H73" s="67" t="str">
        <f>H$2&amp;H$3</f>
        <v>2028E</v>
      </c>
      <c r="I73" s="67" t="str">
        <f>I$2&amp;I$3</f>
        <v>2029E</v>
      </c>
      <c r="J73" s="67" t="str">
        <f>J$2&amp;J$3</f>
        <v>2030E</v>
      </c>
      <c r="K73" s="67" t="str">
        <f>K$2&amp;K$3</f>
        <v>2031E</v>
      </c>
    </row>
    <row r="74" spans="2:11" ht="15" customHeight="1" x14ac:dyDescent="0.15">
      <c r="B74" s="45" t="s">
        <v>104</v>
      </c>
      <c r="C74" s="46" t="s">
        <v>66</v>
      </c>
      <c r="D74" s="46" t="s">
        <v>69</v>
      </c>
      <c r="E74" s="46"/>
      <c r="F74" s="46"/>
    </row>
    <row r="75" spans="2:11" ht="15" customHeight="1" x14ac:dyDescent="0.15">
      <c r="B75" s="47" t="str">
        <f>+B25</f>
        <v>New Revolving Credit Facility ($300)</v>
      </c>
      <c r="C75" s="93">
        <f>+F25</f>
        <v>5</v>
      </c>
      <c r="D75" s="101">
        <f>+I25</f>
        <v>0</v>
      </c>
      <c r="E75" s="46"/>
      <c r="F75" s="46"/>
      <c r="G75" s="62">
        <f>+-IF($D75&lt;=(-SUM($E75:F75)),0,($D75/$C75))</f>
        <v>0</v>
      </c>
      <c r="H75" s="62">
        <f>+-IF($D75&lt;=(-SUM($E75:G75)),0,($D75/$C75))</f>
        <v>0</v>
      </c>
      <c r="I75" s="62">
        <f>+-IF($D75&lt;=(-SUM($E75:H75)),0,($D75/$C75))</f>
        <v>0</v>
      </c>
      <c r="J75" s="62">
        <f>+-IF($D75&lt;=(-SUM($E75:I75)),0,($D75/$C75))</f>
        <v>0</v>
      </c>
      <c r="K75" s="62">
        <f>+-IF($D75&lt;=(-SUM($E75:J75)),0,($D75/$C75))</f>
        <v>0</v>
      </c>
    </row>
    <row r="76" spans="2:11" ht="15" customHeight="1" x14ac:dyDescent="0.15">
      <c r="B76" s="47" t="str">
        <f>+B26</f>
        <v>New First Lien Term Loan</v>
      </c>
      <c r="C76" s="93">
        <f>+F26</f>
        <v>7</v>
      </c>
      <c r="D76" s="102">
        <f>+I26</f>
        <v>29.312999999999999</v>
      </c>
      <c r="E76" s="46"/>
      <c r="F76" s="46"/>
      <c r="G76" s="63">
        <f>+-IF($D76&lt;=(-SUM($E76:F76)),0,($D76/$C76))</f>
        <v>-4.1875714285714283</v>
      </c>
      <c r="H76" s="63">
        <f>+-IF($D76&lt;=(-SUM($E76:G76)),0,($D76/$C76))</f>
        <v>-4.1875714285714283</v>
      </c>
      <c r="I76" s="63">
        <f>+-IF($D76&lt;=(-SUM($E76:H76)),0,($D76/$C76))</f>
        <v>-4.1875714285714283</v>
      </c>
      <c r="J76" s="63">
        <f>+-IF($D76&lt;=(-SUM($E76:I76)),0,($D76/$C76))</f>
        <v>-4.1875714285714283</v>
      </c>
      <c r="K76" s="63">
        <f>+-IF($D76&lt;=(-SUM($E76:J76)),0,($D76/$C76))</f>
        <v>-4.1875714285714283</v>
      </c>
    </row>
    <row r="77" spans="2:11" ht="15" customHeight="1" x14ac:dyDescent="0.15">
      <c r="B77" s="31" t="str">
        <f>+B27</f>
        <v>New Senior Unsecured Notes</v>
      </c>
      <c r="C77" s="103">
        <f>+F27</f>
        <v>8</v>
      </c>
      <c r="D77" s="104">
        <f>+I27</f>
        <v>0</v>
      </c>
      <c r="E77" s="46"/>
      <c r="F77" s="46"/>
      <c r="G77" s="105">
        <f>+-IF($D77&lt;=(-SUM($E77:F77)),0,($D77/$C77))</f>
        <v>0</v>
      </c>
      <c r="H77" s="105">
        <f>+-IF($D77&lt;=(-SUM($E77:G77)),0,($D77/$C77))</f>
        <v>0</v>
      </c>
      <c r="I77" s="105">
        <f>+-IF($D77&lt;=(-SUM($E77:H77)),0,($D77/$C77))</f>
        <v>0</v>
      </c>
      <c r="J77" s="105">
        <f>+-IF($D77&lt;=(-SUM($E77:I77)),0,($D77/$C77))</f>
        <v>0</v>
      </c>
      <c r="K77" s="105">
        <f>+-IF($D77&lt;=(-SUM($E77:J77)),0,($D77/$C77))</f>
        <v>0</v>
      </c>
    </row>
    <row r="78" spans="2:11" ht="15" customHeight="1" x14ac:dyDescent="0.15">
      <c r="B78" s="86" t="s">
        <v>105</v>
      </c>
      <c r="C78" s="86"/>
      <c r="D78" s="106">
        <f>SUM(D75:D77)</f>
        <v>29.312999999999999</v>
      </c>
      <c r="E78" s="61"/>
      <c r="F78" s="61"/>
      <c r="G78" s="61">
        <f>SUM(G75:G77)</f>
        <v>-4.1875714285714283</v>
      </c>
      <c r="H78" s="61">
        <f>SUM(H75:H77)</f>
        <v>-4.1875714285714283</v>
      </c>
      <c r="I78" s="61">
        <f>SUM(I75:I77)</f>
        <v>-4.1875714285714283</v>
      </c>
      <c r="J78" s="61">
        <f>SUM(J75:J77)</f>
        <v>-4.1875714285714283</v>
      </c>
      <c r="K78" s="61">
        <f>SUM(K75:K77)</f>
        <v>-4.1875714285714283</v>
      </c>
    </row>
    <row r="80" spans="2:11" ht="15" customHeight="1" x14ac:dyDescent="0.15">
      <c r="B80" s="45" t="s">
        <v>106</v>
      </c>
      <c r="C80" s="46" t="s">
        <v>66</v>
      </c>
      <c r="D80" s="46" t="s">
        <v>71</v>
      </c>
      <c r="E80" s="46"/>
    </row>
    <row r="81" spans="2:11" ht="15" customHeight="1" x14ac:dyDescent="0.15">
      <c r="B81" s="47" t="str">
        <f>+B25</f>
        <v>New Revolving Credit Facility ($300)</v>
      </c>
      <c r="C81" s="93">
        <f>+F25</f>
        <v>5</v>
      </c>
      <c r="D81" s="101">
        <f>+K25</f>
        <v>3.75</v>
      </c>
      <c r="E81" s="46"/>
      <c r="F81" s="46"/>
      <c r="G81" s="62">
        <f>+-IF($D81&lt;=(-SUM($E81:F81)),0,($D81/$C81))</f>
        <v>-0.75</v>
      </c>
      <c r="H81" s="62">
        <f>+-IF($D81&lt;=(-SUM($E81:G81)),0,($D81/$C81))</f>
        <v>-0.75</v>
      </c>
      <c r="I81" s="62">
        <f>+-IF($D81&lt;=(-SUM($E81:H81)),0,($D81/$C81))</f>
        <v>-0.75</v>
      </c>
      <c r="J81" s="62">
        <f>+-IF($D81&lt;=(-SUM($E81:I81)),0,($D81/$C81))</f>
        <v>-0.75</v>
      </c>
      <c r="K81" s="62">
        <f>+-IF($D81&lt;=(-SUM($E81:J81)),0,($D81/$C81))</f>
        <v>-0.75</v>
      </c>
    </row>
    <row r="82" spans="2:11" ht="15" customHeight="1" x14ac:dyDescent="0.15">
      <c r="B82" s="47" t="str">
        <f>+B26</f>
        <v>New First Lien Term Loan</v>
      </c>
      <c r="C82" s="93">
        <f>+F26</f>
        <v>7</v>
      </c>
      <c r="D82" s="102">
        <f>+K26</f>
        <v>65.954249999999988</v>
      </c>
      <c r="E82" s="46"/>
      <c r="F82" s="46"/>
      <c r="G82" s="63">
        <f>+-IF($D82&lt;=(-SUM($E82:F82)),0,($D82/$C82))</f>
        <v>-9.4220357142857125</v>
      </c>
      <c r="H82" s="63">
        <f>+-IF($D82&lt;=(-SUM($E82:G82)),0,($D82/$C82))</f>
        <v>-9.4220357142857125</v>
      </c>
      <c r="I82" s="63">
        <f>+-IF($D82&lt;=(-SUM($E82:H82)),0,($D82/$C82))</f>
        <v>-9.4220357142857125</v>
      </c>
      <c r="J82" s="63">
        <f>+-IF($D82&lt;=(-SUM($E82:I82)),0,($D82/$C82))</f>
        <v>-9.4220357142857125</v>
      </c>
      <c r="K82" s="63">
        <f>+-IF($D82&lt;=(-SUM($E82:J82)),0,($D82/$C82))</f>
        <v>-9.4220357142857125</v>
      </c>
    </row>
    <row r="83" spans="2:11" ht="15" customHeight="1" x14ac:dyDescent="0.15">
      <c r="B83" s="31" t="str">
        <f>+B27</f>
        <v>New Senior Unsecured Notes</v>
      </c>
      <c r="C83" s="103">
        <f>+F27</f>
        <v>8</v>
      </c>
      <c r="D83" s="104">
        <f>+K27</f>
        <v>10.65</v>
      </c>
      <c r="E83" s="46"/>
      <c r="F83" s="46"/>
      <c r="G83" s="105">
        <f>+-IF($D83&lt;=(-SUM($E83:F83)),0,($D83/$C83))</f>
        <v>-1.33125</v>
      </c>
      <c r="H83" s="105">
        <f>+-IF($D83&lt;=(-SUM($E83:G83)),0,($D83/$C83))</f>
        <v>-1.33125</v>
      </c>
      <c r="I83" s="105">
        <f>+-IF($D83&lt;=(-SUM($E83:H83)),0,($D83/$C83))</f>
        <v>-1.33125</v>
      </c>
      <c r="J83" s="105">
        <f>+-IF($D83&lt;=(-SUM($E83:I83)),0,($D83/$C83))</f>
        <v>-1.33125</v>
      </c>
      <c r="K83" s="105">
        <f>+-IF($D83&lt;=(-SUM($E83:J83)),0,($D83/$C83))</f>
        <v>-1.33125</v>
      </c>
    </row>
    <row r="84" spans="2:11" ht="15" customHeight="1" x14ac:dyDescent="0.15">
      <c r="B84" s="86" t="s">
        <v>107</v>
      </c>
      <c r="C84" s="86"/>
      <c r="D84" s="106">
        <f>SUM(D81:D83)</f>
        <v>80.354249999999993</v>
      </c>
      <c r="E84" s="61"/>
      <c r="F84" s="61"/>
      <c r="G84" s="61">
        <f>SUM(G81:G83)</f>
        <v>-11.503285714285713</v>
      </c>
      <c r="H84" s="61">
        <f>SUM(H81:H83)</f>
        <v>-11.503285714285713</v>
      </c>
      <c r="I84" s="61">
        <f>SUM(I81:I83)</f>
        <v>-11.503285714285713</v>
      </c>
      <c r="J84" s="61">
        <f>SUM(J81:J83)</f>
        <v>-11.503285714285713</v>
      </c>
      <c r="K84" s="61">
        <f>SUM(K81:K83)</f>
        <v>-11.503285714285713</v>
      </c>
    </row>
    <row r="86" spans="2:11" ht="15" customHeight="1" x14ac:dyDescent="0.15">
      <c r="B86" s="203" t="s">
        <v>86</v>
      </c>
      <c r="C86" s="203"/>
      <c r="D86" s="203"/>
      <c r="E86" s="203"/>
      <c r="F86" s="203"/>
      <c r="G86" s="203"/>
      <c r="H86" s="203"/>
      <c r="I86" s="203"/>
      <c r="J86" s="203"/>
      <c r="K86" s="203"/>
    </row>
    <row r="87" spans="2:11" ht="15" customHeight="1" x14ac:dyDescent="0.15">
      <c r="G87" s="65"/>
    </row>
    <row r="88" spans="2:11" ht="15" customHeight="1" x14ac:dyDescent="0.15">
      <c r="C88" s="67" t="str">
        <f>""</f>
        <v/>
      </c>
      <c r="D88" s="67" t="str">
        <f t="shared" ref="D88:K88" si="8">D$2&amp;D$3</f>
        <v>2023A</v>
      </c>
      <c r="E88" s="67" t="str">
        <f t="shared" si="8"/>
        <v>2024A</v>
      </c>
      <c r="F88" s="67" t="str">
        <f t="shared" si="8"/>
        <v>2025A</v>
      </c>
      <c r="G88" s="68" t="str">
        <f t="shared" si="8"/>
        <v>2027E</v>
      </c>
      <c r="H88" s="67" t="str">
        <f t="shared" si="8"/>
        <v>2028E</v>
      </c>
      <c r="I88" s="67" t="str">
        <f t="shared" si="8"/>
        <v>2029E</v>
      </c>
      <c r="J88" s="67" t="str">
        <f t="shared" si="8"/>
        <v>2030E</v>
      </c>
      <c r="K88" s="67" t="str">
        <f t="shared" si="8"/>
        <v>2031E</v>
      </c>
    </row>
    <row r="89" spans="2:11" ht="15" customHeight="1" x14ac:dyDescent="0.15">
      <c r="B89" s="107" t="s">
        <v>108</v>
      </c>
      <c r="C89" s="63"/>
      <c r="D89" s="54">
        <f>'Revenue Build'!B5</f>
        <v>1598.1</v>
      </c>
      <c r="E89" s="54">
        <f>'Revenue Build'!C5</f>
        <v>1577.3</v>
      </c>
      <c r="F89" s="54">
        <f>'Revenue Build'!D5</f>
        <v>1716.2</v>
      </c>
      <c r="G89" s="108">
        <f>'Revenue Build'!E5*(1+G45)</f>
        <v>2055.34</v>
      </c>
      <c r="H89" s="63">
        <f>'Revenue Build'!F5*(1+H45)</f>
        <v>2178.6604000000002</v>
      </c>
      <c r="I89" s="63">
        <f>'Revenue Build'!G5*(1+I45)</f>
        <v>2309.3800240000005</v>
      </c>
      <c r="J89" s="63">
        <f>'Revenue Build'!H5*(1+J45)</f>
        <v>2447.9428254400004</v>
      </c>
      <c r="K89" s="63">
        <f>'Revenue Build'!I5*(1+K45)</f>
        <v>2594.8193949664005</v>
      </c>
    </row>
    <row r="90" spans="2:11" ht="15" customHeight="1" x14ac:dyDescent="0.15">
      <c r="B90" s="107" t="s">
        <v>109</v>
      </c>
      <c r="C90" s="63"/>
      <c r="D90" s="54">
        <f>'Revenue Build'!B6</f>
        <v>1941.9</v>
      </c>
      <c r="E90" s="54">
        <f>'Revenue Build'!C6</f>
        <v>1916.7</v>
      </c>
      <c r="F90" s="54">
        <f>'Revenue Build'!D6</f>
        <v>2082</v>
      </c>
      <c r="G90" s="108">
        <f>'Revenue Build'!E6*(1+G46)</f>
        <v>2213.81</v>
      </c>
      <c r="H90" s="63">
        <f>'Revenue Build'!F6*(1+H46)</f>
        <v>2346.6386000000002</v>
      </c>
      <c r="I90" s="63">
        <f>'Revenue Build'!G6*(1+I46)</f>
        <v>2487.4369160000006</v>
      </c>
      <c r="J90" s="63">
        <f>'Revenue Build'!H6*(1+J46)</f>
        <v>2636.6831309600007</v>
      </c>
      <c r="K90" s="63">
        <f>'Revenue Build'!I6*(1+K46)</f>
        <v>2794.8841188176007</v>
      </c>
    </row>
    <row r="91" spans="2:11" ht="15" customHeight="1" x14ac:dyDescent="0.15">
      <c r="B91" s="107" t="s">
        <v>110</v>
      </c>
      <c r="C91" s="63"/>
      <c r="D91" s="54">
        <f>0</f>
        <v>0</v>
      </c>
      <c r="E91" s="54">
        <f>0</f>
        <v>0</v>
      </c>
      <c r="F91" s="54">
        <f>0</f>
        <v>0</v>
      </c>
      <c r="G91" s="108">
        <f>'Revenue Build'!E7*(1+G47)</f>
        <v>0</v>
      </c>
      <c r="H91" s="63">
        <f>'Revenue Build'!F7*(1+H47)</f>
        <v>0</v>
      </c>
      <c r="I91" s="63">
        <f>'Revenue Build'!G7*(1+I47)</f>
        <v>0</v>
      </c>
      <c r="J91" s="63">
        <f>'Revenue Build'!H7*(1+J47)</f>
        <v>0</v>
      </c>
      <c r="K91" s="63">
        <f>'Revenue Build'!I7*(1+K47)</f>
        <v>0</v>
      </c>
    </row>
    <row r="92" spans="2:11" ht="15" customHeight="1" x14ac:dyDescent="0.15">
      <c r="B92" s="40" t="s">
        <v>111</v>
      </c>
      <c r="C92" s="57" t="str">
        <f>""</f>
        <v/>
      </c>
      <c r="D92" s="57">
        <f t="shared" ref="D92:K92" si="9">SUM(D89:D91)</f>
        <v>3540</v>
      </c>
      <c r="E92" s="57">
        <f t="shared" si="9"/>
        <v>3494</v>
      </c>
      <c r="F92" s="57">
        <f t="shared" si="9"/>
        <v>3798.2</v>
      </c>
      <c r="G92" s="109">
        <f t="shared" si="9"/>
        <v>4269.1499999999996</v>
      </c>
      <c r="H92" s="57">
        <f t="shared" si="9"/>
        <v>4525.2990000000009</v>
      </c>
      <c r="I92" s="57">
        <f t="shared" si="9"/>
        <v>4796.8169400000006</v>
      </c>
      <c r="J92" s="57">
        <f t="shared" si="9"/>
        <v>5084.6259564000011</v>
      </c>
      <c r="K92" s="57">
        <f t="shared" si="9"/>
        <v>5389.7035137840012</v>
      </c>
    </row>
    <row r="93" spans="2:11" ht="15" customHeight="1" x14ac:dyDescent="0.15">
      <c r="B93" s="110" t="s">
        <v>112</v>
      </c>
      <c r="C93" s="111" t="str">
        <f>""</f>
        <v/>
      </c>
      <c r="D93" s="112" t="str">
        <f>""</f>
        <v/>
      </c>
      <c r="E93" s="111">
        <f t="shared" ref="E93:K93" si="10">IFERROR(E92/D92-1,0)</f>
        <v>-1.2994350282485856E-2</v>
      </c>
      <c r="F93" s="111">
        <f t="shared" si="10"/>
        <v>8.7063537492844789E-2</v>
      </c>
      <c r="G93" s="113">
        <f t="shared" si="10"/>
        <v>0.1239929440261176</v>
      </c>
      <c r="H93" s="114">
        <f t="shared" si="10"/>
        <v>6.0000000000000275E-2</v>
      </c>
      <c r="I93" s="114">
        <f t="shared" si="10"/>
        <v>5.9999999999999831E-2</v>
      </c>
      <c r="J93" s="114">
        <f t="shared" si="10"/>
        <v>6.0000000000000053E-2</v>
      </c>
      <c r="K93" s="114">
        <f t="shared" si="10"/>
        <v>6.0000000000000053E-2</v>
      </c>
    </row>
    <row r="94" spans="2:11" ht="15" customHeight="1" x14ac:dyDescent="0.15">
      <c r="G94" s="65">
        <f>G92/'Revenue Build'!E8-1</f>
        <v>5.9999999999999831E-2</v>
      </c>
      <c r="H94" s="18">
        <f>H92/G92-1</f>
        <v>6.0000000000000275E-2</v>
      </c>
      <c r="I94" s="18">
        <f>I92/H92-1</f>
        <v>5.9999999999999831E-2</v>
      </c>
      <c r="J94" s="18">
        <f>J92/I92-1</f>
        <v>6.0000000000000053E-2</v>
      </c>
      <c r="K94" s="18">
        <f>K92/J92-1</f>
        <v>6.0000000000000053E-2</v>
      </c>
    </row>
    <row r="95" spans="2:11" ht="15" customHeight="1" x14ac:dyDescent="0.15">
      <c r="B95" s="107" t="s">
        <v>113</v>
      </c>
      <c r="C95" s="63"/>
      <c r="D95" s="54">
        <f>-D92*(1-D50)</f>
        <v>-2301</v>
      </c>
      <c r="E95" s="54">
        <f>-E92*(1-E50)</f>
        <v>-2271.1</v>
      </c>
      <c r="F95" s="54">
        <f>-F92*(1-F50)</f>
        <v>-2463.6000000000017</v>
      </c>
      <c r="G95" s="108">
        <f>+G$92*(1-G50)*-1</f>
        <v>-2753.6017499999998</v>
      </c>
      <c r="H95" s="63">
        <f>+H$92*(1-H50)*-1</f>
        <v>-2900.7166590000006</v>
      </c>
      <c r="I95" s="63">
        <f>+I$92*(1-I50)*-1</f>
        <v>-3079.5564754800002</v>
      </c>
      <c r="J95" s="63">
        <f>+J$92*(1-J50)*-1</f>
        <v>-3271.9568029434004</v>
      </c>
      <c r="K95" s="63">
        <f>+K$92*(1-K50)*-1</f>
        <v>-3476.358766390681</v>
      </c>
    </row>
    <row r="96" spans="2:11" ht="15" customHeight="1" x14ac:dyDescent="0.15">
      <c r="B96" s="40" t="s">
        <v>114</v>
      </c>
      <c r="C96" s="57" t="str">
        <f>""</f>
        <v/>
      </c>
      <c r="D96" s="57">
        <f t="shared" ref="D96:K96" si="11">D92+D95</f>
        <v>1239</v>
      </c>
      <c r="E96" s="57">
        <f t="shared" si="11"/>
        <v>1222.9000000000001</v>
      </c>
      <c r="F96" s="57">
        <f t="shared" si="11"/>
        <v>1334.5999999999981</v>
      </c>
      <c r="G96" s="109">
        <f t="shared" si="11"/>
        <v>1515.5482499999998</v>
      </c>
      <c r="H96" s="57">
        <f t="shared" si="11"/>
        <v>1624.5823410000003</v>
      </c>
      <c r="I96" s="57">
        <f t="shared" si="11"/>
        <v>1717.2604645200004</v>
      </c>
      <c r="J96" s="57">
        <f t="shared" si="11"/>
        <v>1812.6691534566007</v>
      </c>
      <c r="K96" s="57">
        <f t="shared" si="11"/>
        <v>1913.3447473933202</v>
      </c>
    </row>
    <row r="97" spans="2:11" ht="15" customHeight="1" x14ac:dyDescent="0.15">
      <c r="B97" s="110" t="s">
        <v>115</v>
      </c>
      <c r="C97" s="111" t="str">
        <f>""</f>
        <v/>
      </c>
      <c r="D97" s="111">
        <f t="shared" ref="D97:K97" si="12">IFERROR(D96/D92,0)</f>
        <v>0.35</v>
      </c>
      <c r="E97" s="111">
        <f t="shared" si="12"/>
        <v>0.35000000000000003</v>
      </c>
      <c r="F97" s="111">
        <f t="shared" si="12"/>
        <v>0.35137696803749097</v>
      </c>
      <c r="G97" s="113">
        <f t="shared" si="12"/>
        <v>0.35499999999999998</v>
      </c>
      <c r="H97" s="114">
        <f t="shared" si="12"/>
        <v>0.35899999999999999</v>
      </c>
      <c r="I97" s="114">
        <f t="shared" si="12"/>
        <v>0.35800000000000004</v>
      </c>
      <c r="J97" s="114">
        <f t="shared" si="12"/>
        <v>0.35650000000000004</v>
      </c>
      <c r="K97" s="114">
        <f t="shared" si="12"/>
        <v>0.35499999999999993</v>
      </c>
    </row>
    <row r="98" spans="2:11" ht="15" customHeight="1" x14ac:dyDescent="0.15">
      <c r="G98" s="65"/>
    </row>
    <row r="99" spans="2:11" ht="15" customHeight="1" x14ac:dyDescent="0.15">
      <c r="B99" s="107" t="s">
        <v>116</v>
      </c>
      <c r="C99" s="53"/>
      <c r="D99" s="54">
        <f>-D92*D52</f>
        <v>-918.99999999999898</v>
      </c>
      <c r="E99" s="54">
        <f>-E92*E52</f>
        <v>-913.99999999999932</v>
      </c>
      <c r="F99" s="54">
        <f>-F92*F52</f>
        <v>-1000.4000000000016</v>
      </c>
      <c r="G99" s="108">
        <f>+G$92*G52*-1</f>
        <v>-998.98109999999986</v>
      </c>
      <c r="H99" s="63">
        <f>+H$92*H52*-1</f>
        <v>-1004.6163780000001</v>
      </c>
      <c r="I99" s="63">
        <f>+I$92*I52*-1</f>
        <v>-1050.50290986</v>
      </c>
      <c r="J99" s="63">
        <f>+J$92*J52*-1</f>
        <v>-1093.1945806260003</v>
      </c>
      <c r="K99" s="63">
        <f>+K$92*K52*-1</f>
        <v>-1131.8377378946402</v>
      </c>
    </row>
    <row r="100" spans="2:11" ht="15" customHeight="1" x14ac:dyDescent="0.15">
      <c r="B100" s="107" t="s">
        <v>117</v>
      </c>
      <c r="C100" s="53" t="str">
        <f>""</f>
        <v/>
      </c>
      <c r="D100" s="53">
        <v>0</v>
      </c>
      <c r="E100" s="53">
        <v>0</v>
      </c>
      <c r="F100" s="53">
        <v>0</v>
      </c>
      <c r="G100" s="115">
        <f>+G78</f>
        <v>-4.1875714285714283</v>
      </c>
      <c r="H100" s="53">
        <f>+H78</f>
        <v>-4.1875714285714283</v>
      </c>
      <c r="I100" s="53">
        <f>+I78</f>
        <v>-4.1875714285714283</v>
      </c>
      <c r="J100" s="53">
        <f>+J78</f>
        <v>-4.1875714285714283</v>
      </c>
      <c r="K100" s="53">
        <f>+K78</f>
        <v>-4.1875714285714283</v>
      </c>
    </row>
    <row r="101" spans="2:11" ht="15" customHeight="1" x14ac:dyDescent="0.15">
      <c r="B101" s="107" t="s">
        <v>118</v>
      </c>
      <c r="C101" s="53" t="str">
        <f>""</f>
        <v/>
      </c>
      <c r="D101" s="53">
        <v>0</v>
      </c>
      <c r="E101" s="53">
        <v>0</v>
      </c>
      <c r="F101" s="53">
        <v>0</v>
      </c>
      <c r="G101" s="115">
        <f>+G84</f>
        <v>-11.503285714285713</v>
      </c>
      <c r="H101" s="53">
        <f>+H84</f>
        <v>-11.503285714285713</v>
      </c>
      <c r="I101" s="53">
        <f>+I84</f>
        <v>-11.503285714285713</v>
      </c>
      <c r="J101" s="53">
        <f>+J84</f>
        <v>-11.503285714285713</v>
      </c>
      <c r="K101" s="53">
        <f>+K84</f>
        <v>-11.503285714285713</v>
      </c>
    </row>
    <row r="102" spans="2:11" ht="15" customHeight="1" x14ac:dyDescent="0.15">
      <c r="B102" s="40" t="s">
        <v>119</v>
      </c>
      <c r="C102" s="57" t="str">
        <f>""</f>
        <v/>
      </c>
      <c r="D102" s="57">
        <f t="shared" ref="D102:K102" si="13">D96+SUM(D99:D101)</f>
        <v>320.00000000000102</v>
      </c>
      <c r="E102" s="57">
        <f t="shared" si="13"/>
        <v>308.90000000000077</v>
      </c>
      <c r="F102" s="57">
        <f t="shared" si="13"/>
        <v>334.19999999999652</v>
      </c>
      <c r="G102" s="109">
        <f t="shared" si="13"/>
        <v>500.87629285714274</v>
      </c>
      <c r="H102" s="57">
        <f t="shared" si="13"/>
        <v>604.27510585714299</v>
      </c>
      <c r="I102" s="57">
        <f t="shared" si="13"/>
        <v>651.06669751714321</v>
      </c>
      <c r="J102" s="57">
        <f t="shared" si="13"/>
        <v>703.78371568774332</v>
      </c>
      <c r="K102" s="57">
        <f t="shared" si="13"/>
        <v>765.81615235582285</v>
      </c>
    </row>
    <row r="103" spans="2:11" ht="15" customHeight="1" x14ac:dyDescent="0.15">
      <c r="B103" s="110" t="s">
        <v>115</v>
      </c>
      <c r="C103" s="111" t="str">
        <f>""</f>
        <v/>
      </c>
      <c r="D103" s="111">
        <f t="shared" ref="D103:K103" si="14">IFERROR(D102/D92,0)</f>
        <v>9.0395480225988992E-2</v>
      </c>
      <c r="E103" s="111">
        <f t="shared" si="14"/>
        <v>8.8408700629651046E-2</v>
      </c>
      <c r="F103" s="111">
        <f t="shared" si="14"/>
        <v>8.7989047443524968E-2</v>
      </c>
      <c r="G103" s="113">
        <f t="shared" si="14"/>
        <v>0.11732459455796652</v>
      </c>
      <c r="H103" s="114">
        <f t="shared" si="14"/>
        <v>0.13353263637544013</v>
      </c>
      <c r="I103" s="114">
        <f t="shared" si="14"/>
        <v>0.1357289022409813</v>
      </c>
      <c r="J103" s="114">
        <f t="shared" si="14"/>
        <v>0.13841405871790691</v>
      </c>
      <c r="K103" s="114">
        <f t="shared" si="14"/>
        <v>0.14208873463953473</v>
      </c>
    </row>
    <row r="104" spans="2:11" ht="15" customHeight="1" x14ac:dyDescent="0.15">
      <c r="G104" s="65"/>
    </row>
    <row r="105" spans="2:11" ht="15" customHeight="1" x14ac:dyDescent="0.15">
      <c r="B105" s="107" t="s">
        <v>120</v>
      </c>
      <c r="C105" s="53"/>
      <c r="D105" s="54">
        <v>-40</v>
      </c>
      <c r="E105" s="54">
        <v>-68.599999999999994</v>
      </c>
      <c r="F105" s="54">
        <v>-103.3</v>
      </c>
      <c r="G105" s="115">
        <f>-((F157+G163/2)*(D175/10000+MAX($G$10,AVERAGE(F69,G69)))+G8*G9+F158*D176)</f>
        <v>-254.352381675</v>
      </c>
      <c r="H105" s="53">
        <f>-((G157+H163/2)*(D175/10000+MAX($G$10,AVERAGE(G69,H69)))+G8*G9+G158*D176)</f>
        <v>-225.50591323237512</v>
      </c>
      <c r="I105" s="53">
        <f>-((H157+I163/2)*(D175/10000+MAX($G$10,AVERAGE(H69,I69)))+G8*G9+H158*D176)</f>
        <v>-187.07636751109703</v>
      </c>
      <c r="J105" s="53">
        <f>-((I157+J163/2)*(D175/10000+MAX($G$10,AVERAGE(I69,J69)))+G8*G9+I158*D176)</f>
        <v>-143.50419755048441</v>
      </c>
      <c r="K105" s="53">
        <f>-((J157+K163/2)*(D175/10000+MAX($G$10,AVERAGE(J69,K69)))+G8*G9+J158*D176)</f>
        <v>-92.97930230823944</v>
      </c>
    </row>
    <row r="106" spans="2:11" ht="15" customHeight="1" x14ac:dyDescent="0.15">
      <c r="B106" s="40" t="s">
        <v>121</v>
      </c>
      <c r="C106" s="57" t="str">
        <f>""</f>
        <v/>
      </c>
      <c r="D106" s="57">
        <f t="shared" ref="D106:K106" si="15">D102+D105</f>
        <v>280.00000000000102</v>
      </c>
      <c r="E106" s="57">
        <f t="shared" si="15"/>
        <v>240.30000000000078</v>
      </c>
      <c r="F106" s="57">
        <f t="shared" si="15"/>
        <v>230.89999999999651</v>
      </c>
      <c r="G106" s="109">
        <f t="shared" si="15"/>
        <v>246.52391118214274</v>
      </c>
      <c r="H106" s="57">
        <f t="shared" si="15"/>
        <v>378.76919262476787</v>
      </c>
      <c r="I106" s="57">
        <f t="shared" si="15"/>
        <v>463.99033000604618</v>
      </c>
      <c r="J106" s="57">
        <f t="shared" si="15"/>
        <v>560.27951813725895</v>
      </c>
      <c r="K106" s="57">
        <f t="shared" si="15"/>
        <v>672.83685004758343</v>
      </c>
    </row>
    <row r="107" spans="2:11" ht="15" customHeight="1" x14ac:dyDescent="0.15">
      <c r="G107" s="65"/>
    </row>
    <row r="108" spans="2:11" ht="15" customHeight="1" x14ac:dyDescent="0.15">
      <c r="B108" s="107" t="s">
        <v>122</v>
      </c>
      <c r="C108" s="53"/>
      <c r="D108" s="54">
        <f t="shared" ref="D108:K108" si="16">IF(D106&gt;0,-D106*$G$16,0)</f>
        <v>-70.000000000000256</v>
      </c>
      <c r="E108" s="54">
        <f t="shared" si="16"/>
        <v>-60.075000000000195</v>
      </c>
      <c r="F108" s="54">
        <f t="shared" si="16"/>
        <v>-57.724999999999127</v>
      </c>
      <c r="G108" s="115">
        <f t="shared" si="16"/>
        <v>-61.630977795535685</v>
      </c>
      <c r="H108" s="53">
        <f t="shared" si="16"/>
        <v>-94.692298156191967</v>
      </c>
      <c r="I108" s="53">
        <f t="shared" si="16"/>
        <v>-115.99758250151154</v>
      </c>
      <c r="J108" s="53">
        <f t="shared" si="16"/>
        <v>-140.06987953431474</v>
      </c>
      <c r="K108" s="53">
        <f t="shared" si="16"/>
        <v>-168.20921251189586</v>
      </c>
    </row>
    <row r="109" spans="2:11" ht="15" customHeight="1" x14ac:dyDescent="0.15">
      <c r="B109" s="40" t="s">
        <v>123</v>
      </c>
      <c r="C109" s="57" t="str">
        <f>""</f>
        <v/>
      </c>
      <c r="D109" s="57">
        <f t="shared" ref="D109:K109" si="17">D106+D108</f>
        <v>210.00000000000077</v>
      </c>
      <c r="E109" s="57">
        <f t="shared" si="17"/>
        <v>180.22500000000059</v>
      </c>
      <c r="F109" s="57">
        <f t="shared" si="17"/>
        <v>173.1749999999974</v>
      </c>
      <c r="G109" s="109">
        <f t="shared" si="17"/>
        <v>184.89293338660707</v>
      </c>
      <c r="H109" s="57">
        <f t="shared" si="17"/>
        <v>284.07689446857592</v>
      </c>
      <c r="I109" s="57">
        <f t="shared" si="17"/>
        <v>347.99274750453463</v>
      </c>
      <c r="J109" s="57">
        <f t="shared" si="17"/>
        <v>420.20963860294421</v>
      </c>
      <c r="K109" s="57">
        <f t="shared" si="17"/>
        <v>504.62763753568754</v>
      </c>
    </row>
    <row r="110" spans="2:11" ht="15" customHeight="1" x14ac:dyDescent="0.15">
      <c r="B110" s="110" t="s">
        <v>115</v>
      </c>
      <c r="C110" s="111" t="str">
        <f>""</f>
        <v/>
      </c>
      <c r="D110" s="111">
        <f t="shared" ref="D110:K110" si="18">IFERROR(D109/D92,0)</f>
        <v>5.9322033898305301E-2</v>
      </c>
      <c r="E110" s="111">
        <f t="shared" si="18"/>
        <v>5.1581282198053975E-2</v>
      </c>
      <c r="F110" s="111">
        <f t="shared" si="18"/>
        <v>4.5593965562634252E-2</v>
      </c>
      <c r="G110" s="113">
        <f t="shared" si="18"/>
        <v>4.330907402799318E-2</v>
      </c>
      <c r="H110" s="114">
        <f t="shared" si="18"/>
        <v>6.2775276168177144E-2</v>
      </c>
      <c r="I110" s="114">
        <f t="shared" si="18"/>
        <v>7.2546597432699728E-2</v>
      </c>
      <c r="J110" s="114">
        <f t="shared" si="18"/>
        <v>8.2643176156159098E-2</v>
      </c>
      <c r="K110" s="114">
        <f t="shared" si="18"/>
        <v>9.3628088492273803E-2</v>
      </c>
    </row>
    <row r="111" spans="2:11" ht="15" customHeight="1" x14ac:dyDescent="0.15">
      <c r="C111" s="81"/>
      <c r="G111" s="65"/>
    </row>
    <row r="112" spans="2:11" ht="15" customHeight="1" x14ac:dyDescent="0.15">
      <c r="B112" s="107" t="s">
        <v>124</v>
      </c>
      <c r="C112" s="63" t="str">
        <f>""</f>
        <v/>
      </c>
      <c r="D112" s="63">
        <f t="shared" ref="D112:K112" si="19">-D105</f>
        <v>40</v>
      </c>
      <c r="E112" s="63">
        <f t="shared" si="19"/>
        <v>68.599999999999994</v>
      </c>
      <c r="F112" s="63">
        <f t="shared" si="19"/>
        <v>103.3</v>
      </c>
      <c r="G112" s="108">
        <f t="shared" si="19"/>
        <v>254.352381675</v>
      </c>
      <c r="H112" s="63">
        <f t="shared" si="19"/>
        <v>225.50591323237512</v>
      </c>
      <c r="I112" s="63">
        <f t="shared" si="19"/>
        <v>187.07636751109703</v>
      </c>
      <c r="J112" s="63">
        <f t="shared" si="19"/>
        <v>143.50419755048441</v>
      </c>
      <c r="K112" s="63">
        <f t="shared" si="19"/>
        <v>92.97930230823944</v>
      </c>
    </row>
    <row r="113" spans="2:11" ht="15" customHeight="1" x14ac:dyDescent="0.15">
      <c r="B113" s="107" t="s">
        <v>125</v>
      </c>
      <c r="C113" s="63" t="str">
        <f>""</f>
        <v/>
      </c>
      <c r="D113" s="63">
        <f t="shared" ref="D113:K113" si="20">-D108</f>
        <v>70.000000000000256</v>
      </c>
      <c r="E113" s="63">
        <f t="shared" si="20"/>
        <v>60.075000000000195</v>
      </c>
      <c r="F113" s="63">
        <f t="shared" si="20"/>
        <v>57.724999999999127</v>
      </c>
      <c r="G113" s="108">
        <f t="shared" si="20"/>
        <v>61.630977795535685</v>
      </c>
      <c r="H113" s="63">
        <f t="shared" si="20"/>
        <v>94.692298156191967</v>
      </c>
      <c r="I113" s="63">
        <f t="shared" si="20"/>
        <v>115.99758250151154</v>
      </c>
      <c r="J113" s="63">
        <f t="shared" si="20"/>
        <v>140.06987953431474</v>
      </c>
      <c r="K113" s="63">
        <f t="shared" si="20"/>
        <v>168.20921251189586</v>
      </c>
    </row>
    <row r="114" spans="2:11" ht="15" customHeight="1" x14ac:dyDescent="0.15">
      <c r="B114" s="107" t="s">
        <v>126</v>
      </c>
      <c r="C114" s="63"/>
      <c r="D114" s="54">
        <v>95</v>
      </c>
      <c r="E114" s="54">
        <v>85</v>
      </c>
      <c r="F114" s="54">
        <v>125</v>
      </c>
      <c r="G114" s="108">
        <f t="shared" ref="G114:K115" si="21">G92*G58</f>
        <v>106.72874999999999</v>
      </c>
      <c r="H114" s="63">
        <f t="shared" si="21"/>
        <v>113.13247500000003</v>
      </c>
      <c r="I114" s="63">
        <f t="shared" si="21"/>
        <v>119.92042350000003</v>
      </c>
      <c r="J114" s="63">
        <f t="shared" si="21"/>
        <v>127.11564891000003</v>
      </c>
      <c r="K114" s="63">
        <f t="shared" si="21"/>
        <v>134.74258784460002</v>
      </c>
    </row>
    <row r="115" spans="2:11" ht="15" customHeight="1" x14ac:dyDescent="0.15">
      <c r="B115" s="107" t="s">
        <v>127</v>
      </c>
      <c r="C115" s="63"/>
      <c r="D115" s="54">
        <v>95</v>
      </c>
      <c r="E115" s="54">
        <v>85.1</v>
      </c>
      <c r="F115" s="54">
        <v>141.19999999999999</v>
      </c>
      <c r="G115" s="108">
        <f>G92*G59</f>
        <v>170.76599999999999</v>
      </c>
      <c r="H115" s="63">
        <f>H92*H59</f>
        <v>176.48666100000003</v>
      </c>
      <c r="I115" s="63">
        <f>I92*I59</f>
        <v>182.27904372000003</v>
      </c>
      <c r="J115" s="63">
        <f>J92*J59</f>
        <v>188.13116038680002</v>
      </c>
      <c r="K115" s="63">
        <f>K92*K59</f>
        <v>188.63962298244007</v>
      </c>
    </row>
    <row r="116" spans="2:11" ht="15" customHeight="1" x14ac:dyDescent="0.15">
      <c r="B116" s="107" t="s">
        <v>128</v>
      </c>
      <c r="C116" s="63" t="str">
        <f>""</f>
        <v/>
      </c>
      <c r="D116" s="63">
        <f t="shared" ref="D116:K117" si="22">-D100</f>
        <v>0</v>
      </c>
      <c r="E116" s="63">
        <f t="shared" si="22"/>
        <v>0</v>
      </c>
      <c r="F116" s="63">
        <f t="shared" si="22"/>
        <v>0</v>
      </c>
      <c r="G116" s="108">
        <f t="shared" si="22"/>
        <v>4.1875714285714283</v>
      </c>
      <c r="H116" s="63">
        <f t="shared" si="22"/>
        <v>4.1875714285714283</v>
      </c>
      <c r="I116" s="63">
        <f t="shared" si="22"/>
        <v>4.1875714285714283</v>
      </c>
      <c r="J116" s="63">
        <f t="shared" si="22"/>
        <v>4.1875714285714283</v>
      </c>
      <c r="K116" s="63">
        <f t="shared" si="22"/>
        <v>4.1875714285714283</v>
      </c>
    </row>
    <row r="117" spans="2:11" ht="15" customHeight="1" x14ac:dyDescent="0.15">
      <c r="B117" s="107" t="s">
        <v>129</v>
      </c>
      <c r="C117" s="63" t="str">
        <f>""</f>
        <v/>
      </c>
      <c r="D117" s="63">
        <f t="shared" si="22"/>
        <v>0</v>
      </c>
      <c r="E117" s="63">
        <f t="shared" si="22"/>
        <v>0</v>
      </c>
      <c r="F117" s="63">
        <f t="shared" si="22"/>
        <v>0</v>
      </c>
      <c r="G117" s="108">
        <f t="shared" si="22"/>
        <v>11.503285714285713</v>
      </c>
      <c r="H117" s="63">
        <f t="shared" si="22"/>
        <v>11.503285714285713</v>
      </c>
      <c r="I117" s="63">
        <f t="shared" si="22"/>
        <v>11.503285714285713</v>
      </c>
      <c r="J117" s="63">
        <f t="shared" si="22"/>
        <v>11.503285714285713</v>
      </c>
      <c r="K117" s="63">
        <f t="shared" si="22"/>
        <v>11.503285714285713</v>
      </c>
    </row>
    <row r="118" spans="2:11" ht="15" customHeight="1" x14ac:dyDescent="0.15">
      <c r="B118" s="40" t="s">
        <v>130</v>
      </c>
      <c r="C118" s="57" t="str">
        <f>""</f>
        <v/>
      </c>
      <c r="D118" s="57">
        <f t="shared" ref="D118:K118" si="23">D109+SUM(D112:D117)</f>
        <v>510.00000000000102</v>
      </c>
      <c r="E118" s="57">
        <f t="shared" si="23"/>
        <v>479.0000000000008</v>
      </c>
      <c r="F118" s="57">
        <f t="shared" si="23"/>
        <v>600.39999999999645</v>
      </c>
      <c r="G118" s="109">
        <f t="shared" si="23"/>
        <v>794.06189999999992</v>
      </c>
      <c r="H118" s="57">
        <f t="shared" si="23"/>
        <v>909.58509900000024</v>
      </c>
      <c r="I118" s="57">
        <f t="shared" si="23"/>
        <v>968.95702188000041</v>
      </c>
      <c r="J118" s="57">
        <f t="shared" si="23"/>
        <v>1034.7213821274006</v>
      </c>
      <c r="K118" s="57">
        <f t="shared" si="23"/>
        <v>1104.8892203257201</v>
      </c>
    </row>
    <row r="119" spans="2:11" ht="15" customHeight="1" x14ac:dyDescent="0.15">
      <c r="B119" s="110" t="s">
        <v>115</v>
      </c>
      <c r="C119" s="111" t="str">
        <f>""</f>
        <v/>
      </c>
      <c r="D119" s="111">
        <f t="shared" ref="D119:K119" si="24">IFERROR(D118/D92,0)</f>
        <v>0.14406779661016977</v>
      </c>
      <c r="E119" s="111">
        <f t="shared" si="24"/>
        <v>0.13709215798511756</v>
      </c>
      <c r="F119" s="111">
        <f t="shared" si="24"/>
        <v>0.15807487757358657</v>
      </c>
      <c r="G119" s="113">
        <f t="shared" si="24"/>
        <v>0.186</v>
      </c>
      <c r="H119" s="114">
        <f t="shared" si="24"/>
        <v>0.20100000000000001</v>
      </c>
      <c r="I119" s="114">
        <f t="shared" si="24"/>
        <v>0.20200000000000007</v>
      </c>
      <c r="J119" s="114">
        <f t="shared" si="24"/>
        <v>0.20350000000000007</v>
      </c>
      <c r="K119" s="114">
        <f t="shared" si="24"/>
        <v>0.20499999999999996</v>
      </c>
    </row>
    <row r="121" spans="2:11" ht="15" customHeight="1" x14ac:dyDescent="0.15">
      <c r="B121" s="203" t="s">
        <v>131</v>
      </c>
      <c r="C121" s="203"/>
      <c r="D121" s="203"/>
      <c r="E121" s="203"/>
      <c r="F121" s="203"/>
      <c r="G121" s="203"/>
      <c r="H121" s="203"/>
      <c r="I121" s="203"/>
      <c r="J121" s="203"/>
      <c r="K121" s="203"/>
    </row>
    <row r="122" spans="2:11" ht="15" customHeight="1" x14ac:dyDescent="0.15">
      <c r="G122" s="65"/>
    </row>
    <row r="123" spans="2:11" ht="15" customHeight="1" x14ac:dyDescent="0.15">
      <c r="B123" s="116" t="s">
        <v>132</v>
      </c>
      <c r="C123" s="67"/>
      <c r="D123" s="67"/>
      <c r="E123" s="67"/>
      <c r="F123" s="67"/>
      <c r="G123" s="68" t="str">
        <f>G$2&amp;G$3</f>
        <v>2027E</v>
      </c>
      <c r="H123" s="67" t="str">
        <f>H$2&amp;H$3</f>
        <v>2028E</v>
      </c>
      <c r="I123" s="67" t="str">
        <f>I$2&amp;I$3</f>
        <v>2029E</v>
      </c>
      <c r="J123" s="67" t="str">
        <f>J$2&amp;J$3</f>
        <v>2030E</v>
      </c>
      <c r="K123" s="67" t="str">
        <f>K$2&amp;K$3</f>
        <v>2031E</v>
      </c>
    </row>
    <row r="124" spans="2:11" ht="15" customHeight="1" x14ac:dyDescent="0.15">
      <c r="B124" s="47" t="s">
        <v>123</v>
      </c>
      <c r="C124" s="63"/>
      <c r="D124" s="117"/>
      <c r="E124" s="117"/>
      <c r="F124" s="63"/>
      <c r="G124" s="108">
        <f>+G109</f>
        <v>184.89293338660707</v>
      </c>
      <c r="H124" s="63">
        <f>+H109</f>
        <v>284.07689446857592</v>
      </c>
      <c r="I124" s="63">
        <f>+I109</f>
        <v>347.99274750453463</v>
      </c>
      <c r="J124" s="63">
        <f>+J109</f>
        <v>420.20963860294421</v>
      </c>
      <c r="K124" s="63">
        <f>+K109</f>
        <v>504.62763753568754</v>
      </c>
    </row>
    <row r="125" spans="2:11" ht="15" customHeight="1" x14ac:dyDescent="0.15">
      <c r="B125" s="107" t="s">
        <v>126</v>
      </c>
      <c r="C125" s="63"/>
      <c r="D125" s="117"/>
      <c r="E125" s="117"/>
      <c r="F125" s="63"/>
      <c r="G125" s="108">
        <f t="shared" ref="G125:K128" si="25">G114</f>
        <v>106.72874999999999</v>
      </c>
      <c r="H125" s="63">
        <f t="shared" si="25"/>
        <v>113.13247500000003</v>
      </c>
      <c r="I125" s="63">
        <f t="shared" si="25"/>
        <v>119.92042350000003</v>
      </c>
      <c r="J125" s="63">
        <f t="shared" si="25"/>
        <v>127.11564891000003</v>
      </c>
      <c r="K125" s="63">
        <f t="shared" si="25"/>
        <v>134.74258784460002</v>
      </c>
    </row>
    <row r="126" spans="2:11" ht="15" customHeight="1" x14ac:dyDescent="0.15">
      <c r="B126" s="107" t="s">
        <v>127</v>
      </c>
      <c r="C126" s="63"/>
      <c r="D126" s="117"/>
      <c r="E126" s="117"/>
      <c r="F126" s="63"/>
      <c r="G126" s="108">
        <f t="shared" si="25"/>
        <v>170.76599999999999</v>
      </c>
      <c r="H126" s="63">
        <f t="shared" si="25"/>
        <v>176.48666100000003</v>
      </c>
      <c r="I126" s="63">
        <f t="shared" si="25"/>
        <v>182.27904372000003</v>
      </c>
      <c r="J126" s="63">
        <f t="shared" si="25"/>
        <v>188.13116038680002</v>
      </c>
      <c r="K126" s="63">
        <f t="shared" si="25"/>
        <v>188.63962298244007</v>
      </c>
    </row>
    <row r="127" spans="2:11" ht="15" customHeight="1" x14ac:dyDescent="0.15">
      <c r="B127" s="107" t="s">
        <v>128</v>
      </c>
      <c r="C127" s="63"/>
      <c r="D127" s="117"/>
      <c r="E127" s="117"/>
      <c r="F127" s="63"/>
      <c r="G127" s="108">
        <f t="shared" si="25"/>
        <v>4.1875714285714283</v>
      </c>
      <c r="H127" s="63">
        <f t="shared" si="25"/>
        <v>4.1875714285714283</v>
      </c>
      <c r="I127" s="63">
        <f t="shared" si="25"/>
        <v>4.1875714285714283</v>
      </c>
      <c r="J127" s="63">
        <f t="shared" si="25"/>
        <v>4.1875714285714283</v>
      </c>
      <c r="K127" s="63">
        <f t="shared" si="25"/>
        <v>4.1875714285714283</v>
      </c>
    </row>
    <row r="128" spans="2:11" ht="15" customHeight="1" x14ac:dyDescent="0.15">
      <c r="B128" s="107" t="s">
        <v>129</v>
      </c>
      <c r="C128" s="63"/>
      <c r="D128" s="117"/>
      <c r="E128" s="117"/>
      <c r="F128" s="63"/>
      <c r="G128" s="108">
        <f t="shared" si="25"/>
        <v>11.503285714285713</v>
      </c>
      <c r="H128" s="63">
        <f t="shared" si="25"/>
        <v>11.503285714285713</v>
      </c>
      <c r="I128" s="63">
        <f t="shared" si="25"/>
        <v>11.503285714285713</v>
      </c>
      <c r="J128" s="63">
        <f t="shared" si="25"/>
        <v>11.503285714285713</v>
      </c>
      <c r="K128" s="63">
        <f t="shared" si="25"/>
        <v>11.503285714285713</v>
      </c>
    </row>
    <row r="129" spans="2:11" ht="15" customHeight="1" x14ac:dyDescent="0.15">
      <c r="B129" s="107" t="s">
        <v>133</v>
      </c>
      <c r="C129" s="63"/>
      <c r="D129" s="117"/>
      <c r="E129" s="117"/>
      <c r="F129" s="63"/>
      <c r="G129" s="108">
        <f>+-G151</f>
        <v>-30.611750000000001</v>
      </c>
      <c r="H129" s="63">
        <f>+-H151</f>
        <v>-16.649685000000034</v>
      </c>
      <c r="I129" s="63">
        <f>+-I151</f>
        <v>-17.648666100000014</v>
      </c>
      <c r="J129" s="63">
        <f>+-J151</f>
        <v>-18.707586066000033</v>
      </c>
      <c r="K129" s="63">
        <f>+-K151</f>
        <v>-19.830041229959988</v>
      </c>
    </row>
    <row r="130" spans="2:11" ht="15" customHeight="1" x14ac:dyDescent="0.15">
      <c r="B130" s="107" t="s">
        <v>134</v>
      </c>
      <c r="C130" s="63"/>
      <c r="D130" s="117"/>
      <c r="E130" s="117"/>
      <c r="F130" s="63"/>
      <c r="G130" s="108">
        <f>+-G147</f>
        <v>-64.039109894160376</v>
      </c>
      <c r="H130" s="63">
        <f>+-H147</f>
        <v>-67.880385000000018</v>
      </c>
      <c r="I130" s="63">
        <f>+-I147</f>
        <v>-71.953154100000006</v>
      </c>
      <c r="J130" s="63">
        <f>+-J147</f>
        <v>-76.270289346000013</v>
      </c>
      <c r="K130" s="63">
        <f>+-K147</f>
        <v>-80.846452706760019</v>
      </c>
    </row>
    <row r="131" spans="2:11" ht="15" customHeight="1" x14ac:dyDescent="0.15">
      <c r="B131" s="107" t="s">
        <v>135</v>
      </c>
      <c r="C131" s="63"/>
      <c r="D131" s="117"/>
      <c r="E131" s="117"/>
      <c r="F131" s="63"/>
      <c r="G131" s="108">
        <f>SUM(G124:G130)</f>
        <v>383.42768063530372</v>
      </c>
      <c r="H131" s="63">
        <f>SUM(H124:H130)</f>
        <v>504.85681761143303</v>
      </c>
      <c r="I131" s="63">
        <f>SUM(I124:I130)</f>
        <v>576.28125166739187</v>
      </c>
      <c r="J131" s="63">
        <f>SUM(J124:J130)</f>
        <v>656.16942963060137</v>
      </c>
      <c r="K131" s="63">
        <f>SUM(K124:K130)</f>
        <v>743.02421156886487</v>
      </c>
    </row>
    <row r="132" spans="2:11" ht="15" customHeight="1" x14ac:dyDescent="0.15">
      <c r="B132" s="118" t="s">
        <v>136</v>
      </c>
      <c r="C132" s="119"/>
      <c r="D132" s="119"/>
      <c r="E132" s="119"/>
      <c r="F132" s="119"/>
      <c r="G132" s="120">
        <f>G166</f>
        <v>0</v>
      </c>
      <c r="H132" s="119">
        <f>H166</f>
        <v>0</v>
      </c>
      <c r="I132" s="119">
        <f>I166</f>
        <v>0</v>
      </c>
      <c r="J132" s="119">
        <f>J166</f>
        <v>0</v>
      </c>
      <c r="K132" s="119">
        <f>K166</f>
        <v>0</v>
      </c>
    </row>
    <row r="133" spans="2:11" ht="15" customHeight="1" x14ac:dyDescent="0.15">
      <c r="B133" s="107" t="s">
        <v>137</v>
      </c>
      <c r="C133" s="63"/>
      <c r="D133" s="117"/>
      <c r="E133" s="117"/>
      <c r="F133" s="63"/>
      <c r="G133" s="108">
        <f>G165</f>
        <v>-29.312999999999999</v>
      </c>
      <c r="H133" s="63">
        <f>H165</f>
        <v>-29.312999999999999</v>
      </c>
      <c r="I133" s="63">
        <f>I165</f>
        <v>-29.312999999999999</v>
      </c>
      <c r="J133" s="63">
        <f>J165</f>
        <v>-29.312999999999999</v>
      </c>
      <c r="K133" s="63">
        <f>K165</f>
        <v>-29.312999999999999</v>
      </c>
    </row>
    <row r="134" spans="2:11" ht="15" customHeight="1" x14ac:dyDescent="0.15">
      <c r="B134" s="107" t="s">
        <v>138</v>
      </c>
      <c r="C134" s="63"/>
      <c r="D134" s="117"/>
      <c r="E134" s="117"/>
      <c r="F134" s="63"/>
      <c r="G134" s="108">
        <f>G171</f>
        <v>-354.11468063530373</v>
      </c>
      <c r="H134" s="63">
        <f>H171</f>
        <v>-475.54381761143304</v>
      </c>
      <c r="I134" s="63">
        <f>I171</f>
        <v>-546.96825166739188</v>
      </c>
      <c r="J134" s="63">
        <f>J171</f>
        <v>-626.85642963060138</v>
      </c>
      <c r="K134" s="63">
        <f>K171</f>
        <v>-713.71121156886488</v>
      </c>
    </row>
    <row r="135" spans="2:11" x14ac:dyDescent="0.15">
      <c r="B135" s="40" t="s">
        <v>139</v>
      </c>
      <c r="C135" s="57"/>
      <c r="D135" s="57"/>
      <c r="E135" s="57"/>
      <c r="F135" s="57"/>
      <c r="G135" s="109">
        <f>SUM(G131:G134)</f>
        <v>0</v>
      </c>
      <c r="H135" s="57">
        <f>SUM(H131:H134)</f>
        <v>0</v>
      </c>
      <c r="I135" s="57">
        <f>SUM(I131:I134)</f>
        <v>0</v>
      </c>
      <c r="J135" s="57">
        <f>SUM(J131:J134)</f>
        <v>0</v>
      </c>
      <c r="K135" s="57">
        <f>SUM(K131:K134)</f>
        <v>0</v>
      </c>
    </row>
    <row r="136" spans="2:11" ht="15" customHeight="1" x14ac:dyDescent="0.15">
      <c r="B136" s="203" t="s">
        <v>140</v>
      </c>
      <c r="C136" s="203"/>
      <c r="D136" s="203"/>
      <c r="E136" s="203"/>
      <c r="F136" s="203"/>
      <c r="G136" s="203"/>
      <c r="H136" s="203"/>
      <c r="I136" s="203"/>
      <c r="J136" s="203"/>
      <c r="K136" s="203"/>
    </row>
    <row r="137" spans="2:11" ht="15" customHeight="1" x14ac:dyDescent="0.15">
      <c r="F137" s="67"/>
      <c r="G137" s="65"/>
    </row>
    <row r="138" spans="2:11" ht="15" customHeight="1" x14ac:dyDescent="0.15">
      <c r="B138" s="116"/>
      <c r="C138" s="67"/>
      <c r="D138" s="67"/>
      <c r="E138" s="67"/>
      <c r="F138" s="67"/>
      <c r="G138" s="68" t="str">
        <f>G$2&amp;G$3</f>
        <v>2027E</v>
      </c>
      <c r="H138" s="67" t="str">
        <f>H$2&amp;H$3</f>
        <v>2028E</v>
      </c>
      <c r="I138" s="67" t="str">
        <f>I$2&amp;I$3</f>
        <v>2029E</v>
      </c>
      <c r="J138" s="67" t="str">
        <f>J$2&amp;J$3</f>
        <v>2030E</v>
      </c>
      <c r="K138" s="67" t="str">
        <f>K$2&amp;K$3</f>
        <v>2031E</v>
      </c>
    </row>
    <row r="139" spans="2:11" ht="15" customHeight="1" x14ac:dyDescent="0.15">
      <c r="B139" s="116" t="s">
        <v>141</v>
      </c>
      <c r="C139" s="67"/>
      <c r="D139" s="67"/>
      <c r="E139" s="67"/>
      <c r="F139" s="67"/>
      <c r="G139" s="68"/>
      <c r="H139" s="67"/>
      <c r="I139" s="67"/>
      <c r="J139" s="67"/>
      <c r="K139" s="67"/>
    </row>
    <row r="140" spans="2:11" ht="15" customHeight="1" x14ac:dyDescent="0.15">
      <c r="B140" s="47" t="s">
        <v>142</v>
      </c>
      <c r="C140" s="63"/>
      <c r="D140" s="117"/>
      <c r="E140" s="117"/>
      <c r="F140" s="63"/>
      <c r="G140" s="108">
        <f>F142</f>
        <v>50</v>
      </c>
      <c r="H140" s="63">
        <f>G142</f>
        <v>50</v>
      </c>
      <c r="I140" s="63">
        <f>H142</f>
        <v>50</v>
      </c>
      <c r="J140" s="63">
        <f>I142</f>
        <v>50</v>
      </c>
      <c r="K140" s="63">
        <f>J142</f>
        <v>50</v>
      </c>
    </row>
    <row r="141" spans="2:11" ht="15" customHeight="1" x14ac:dyDescent="0.15">
      <c r="B141" s="107" t="s">
        <v>143</v>
      </c>
      <c r="C141" s="63"/>
      <c r="D141" s="117"/>
      <c r="E141" s="117"/>
      <c r="F141" s="63"/>
      <c r="G141" s="108">
        <f>G135</f>
        <v>0</v>
      </c>
      <c r="H141" s="63">
        <f>H135</f>
        <v>0</v>
      </c>
      <c r="I141" s="63">
        <f>I135</f>
        <v>0</v>
      </c>
      <c r="J141" s="63">
        <f>J135</f>
        <v>0</v>
      </c>
      <c r="K141" s="63">
        <f>K135</f>
        <v>0</v>
      </c>
    </row>
    <row r="142" spans="2:11" ht="15" customHeight="1" x14ac:dyDescent="0.15">
      <c r="B142" s="40" t="s">
        <v>144</v>
      </c>
      <c r="C142" s="57"/>
      <c r="D142" s="57"/>
      <c r="E142" s="57"/>
      <c r="F142" s="57">
        <f>$G$17</f>
        <v>50</v>
      </c>
      <c r="G142" s="109">
        <f>SUM(G140:G141)</f>
        <v>50</v>
      </c>
      <c r="H142" s="57">
        <f>SUM(H140:H141)</f>
        <v>50</v>
      </c>
      <c r="I142" s="57">
        <f>SUM(I140:I141)</f>
        <v>50</v>
      </c>
      <c r="J142" s="57">
        <f>SUM(J140:J141)</f>
        <v>50</v>
      </c>
      <c r="K142" s="57">
        <f>SUM(K140:K141)</f>
        <v>50</v>
      </c>
    </row>
    <row r="143" spans="2:11" ht="15" customHeight="1" x14ac:dyDescent="0.15">
      <c r="G143" s="65"/>
    </row>
    <row r="144" spans="2:11" ht="15" customHeight="1" x14ac:dyDescent="0.15">
      <c r="B144" s="116" t="s">
        <v>145</v>
      </c>
      <c r="C144" s="67"/>
      <c r="D144" s="67"/>
      <c r="E144" s="67"/>
      <c r="F144" s="67"/>
      <c r="G144" s="68"/>
      <c r="H144" s="67"/>
      <c r="I144" s="67"/>
      <c r="J144" s="67"/>
      <c r="K144" s="67"/>
    </row>
    <row r="145" spans="2:12" ht="15" customHeight="1" x14ac:dyDescent="0.15">
      <c r="B145" s="107" t="s">
        <v>146</v>
      </c>
      <c r="C145" s="63"/>
      <c r="D145" s="54">
        <v>65</v>
      </c>
      <c r="E145" s="54">
        <v>60</v>
      </c>
      <c r="F145" s="54">
        <v>51.8</v>
      </c>
      <c r="G145" s="108">
        <f t="shared" ref="G145:K146" si="26">G92*G62</f>
        <v>64.037249999999986</v>
      </c>
      <c r="H145" s="63">
        <f t="shared" si="26"/>
        <v>67.879485000000017</v>
      </c>
      <c r="I145" s="63">
        <f t="shared" si="26"/>
        <v>71.952254100000005</v>
      </c>
      <c r="J145" s="63">
        <f t="shared" si="26"/>
        <v>76.269389346000011</v>
      </c>
      <c r="K145" s="63">
        <f t="shared" si="26"/>
        <v>80.845552706760017</v>
      </c>
    </row>
    <row r="146" spans="2:12" ht="15" customHeight="1" x14ac:dyDescent="0.15">
      <c r="B146" s="107" t="s">
        <v>147</v>
      </c>
      <c r="C146" s="63"/>
      <c r="D146" s="54">
        <v>65</v>
      </c>
      <c r="E146" s="54">
        <v>60</v>
      </c>
      <c r="F146" s="54">
        <v>51.8</v>
      </c>
      <c r="G146" s="108">
        <f t="shared" si="26"/>
        <v>1.8598941603917641E-3</v>
      </c>
      <c r="H146" s="63">
        <f t="shared" si="26"/>
        <v>9.000000000000041E-4</v>
      </c>
      <c r="I146" s="63">
        <f t="shared" si="26"/>
        <v>8.9999999999999748E-4</v>
      </c>
      <c r="J146" s="63">
        <f t="shared" si="26"/>
        <v>9.0000000000000073E-4</v>
      </c>
      <c r="K146" s="63">
        <f t="shared" si="26"/>
        <v>9.0000000000000073E-4</v>
      </c>
    </row>
    <row r="147" spans="2:12" ht="15" customHeight="1" x14ac:dyDescent="0.15">
      <c r="B147" s="40" t="s">
        <v>148</v>
      </c>
      <c r="C147" s="57" t="str">
        <f>""</f>
        <v/>
      </c>
      <c r="D147" s="57">
        <f t="shared" ref="D147:K147" si="27">+SUM(D145:D146)</f>
        <v>130</v>
      </c>
      <c r="E147" s="57">
        <f t="shared" si="27"/>
        <v>120</v>
      </c>
      <c r="F147" s="57">
        <f t="shared" si="27"/>
        <v>103.6</v>
      </c>
      <c r="G147" s="109">
        <f t="shared" si="27"/>
        <v>64.039109894160376</v>
      </c>
      <c r="H147" s="57">
        <f t="shared" si="27"/>
        <v>67.880385000000018</v>
      </c>
      <c r="I147" s="57">
        <f t="shared" si="27"/>
        <v>71.953154100000006</v>
      </c>
      <c r="J147" s="57">
        <f t="shared" si="27"/>
        <v>76.270289346000013</v>
      </c>
      <c r="K147" s="57">
        <f t="shared" si="27"/>
        <v>80.846452706760019</v>
      </c>
    </row>
    <row r="149" spans="2:12" ht="15" customHeight="1" x14ac:dyDescent="0.15">
      <c r="B149" s="116" t="s">
        <v>149</v>
      </c>
      <c r="C149" s="67"/>
      <c r="D149" s="67"/>
      <c r="E149" s="67"/>
      <c r="F149" s="67"/>
      <c r="G149" s="68"/>
      <c r="H149" s="67"/>
      <c r="I149" s="67"/>
      <c r="J149" s="67"/>
      <c r="K149" s="67"/>
    </row>
    <row r="150" spans="2:12" ht="15" customHeight="1" x14ac:dyDescent="0.15">
      <c r="B150" s="47" t="s">
        <v>150</v>
      </c>
      <c r="C150" s="63"/>
      <c r="D150" s="54">
        <f t="shared" ref="D150:K150" si="28">D92*D66</f>
        <v>230.1</v>
      </c>
      <c r="E150" s="54">
        <f t="shared" si="28"/>
        <v>227.11</v>
      </c>
      <c r="F150" s="54">
        <f t="shared" si="28"/>
        <v>246.88300000000001</v>
      </c>
      <c r="G150" s="108">
        <f t="shared" si="28"/>
        <v>277.49475000000001</v>
      </c>
      <c r="H150" s="63">
        <f t="shared" si="28"/>
        <v>294.14443500000004</v>
      </c>
      <c r="I150" s="63">
        <f t="shared" si="28"/>
        <v>311.79310110000006</v>
      </c>
      <c r="J150" s="63">
        <f t="shared" si="28"/>
        <v>330.50068716600009</v>
      </c>
      <c r="K150" s="63">
        <f t="shared" si="28"/>
        <v>350.33072839596008</v>
      </c>
    </row>
    <row r="151" spans="2:12" ht="15" customHeight="1" x14ac:dyDescent="0.15">
      <c r="B151" s="110" t="s">
        <v>151</v>
      </c>
      <c r="C151" s="121" t="str">
        <f>""</f>
        <v/>
      </c>
      <c r="D151" s="122" t="str">
        <f>""</f>
        <v/>
      </c>
      <c r="E151" s="122" t="str">
        <f>""</f>
        <v/>
      </c>
      <c r="F151" s="121" t="str">
        <f>""</f>
        <v/>
      </c>
      <c r="G151" s="123">
        <f>G150-F150</f>
        <v>30.611750000000001</v>
      </c>
      <c r="H151" s="121">
        <f>H150-G150</f>
        <v>16.649685000000034</v>
      </c>
      <c r="I151" s="121">
        <f>I150-H150</f>
        <v>17.648666100000014</v>
      </c>
      <c r="J151" s="121">
        <f>J150-I150</f>
        <v>18.707586066000033</v>
      </c>
      <c r="K151" s="121">
        <f>K150-J150</f>
        <v>19.830041229959988</v>
      </c>
    </row>
    <row r="153" spans="2:12" ht="15" customHeight="1" x14ac:dyDescent="0.15">
      <c r="B153" s="203" t="s">
        <v>152</v>
      </c>
      <c r="C153" s="203"/>
      <c r="D153" s="203"/>
      <c r="E153" s="203"/>
      <c r="F153" s="203"/>
      <c r="G153" s="203"/>
      <c r="H153" s="203"/>
      <c r="I153" s="203"/>
      <c r="J153" s="203"/>
      <c r="K153" s="203"/>
    </row>
    <row r="154" spans="2:12" ht="15" customHeight="1" x14ac:dyDescent="0.15">
      <c r="G154" s="65"/>
    </row>
    <row r="155" spans="2:12" ht="30" customHeight="1" x14ac:dyDescent="0.15">
      <c r="B155" s="116" t="s">
        <v>153</v>
      </c>
      <c r="F155" s="124" t="s">
        <v>154</v>
      </c>
      <c r="G155" s="68" t="str">
        <f>G$2&amp;G$3</f>
        <v>2027E</v>
      </c>
      <c r="H155" s="67" t="str">
        <f>H$2&amp;H$3</f>
        <v>2028E</v>
      </c>
      <c r="I155" s="67" t="str">
        <f>I$2&amp;I$3</f>
        <v>2029E</v>
      </c>
      <c r="J155" s="67" t="str">
        <f>J$2&amp;J$3</f>
        <v>2030E</v>
      </c>
      <c r="K155" s="67" t="str">
        <f>K$2&amp;K$3</f>
        <v>2031E</v>
      </c>
    </row>
    <row r="156" spans="2:12" ht="15" customHeight="1" x14ac:dyDescent="0.15">
      <c r="B156" s="107" t="str">
        <f>B25</f>
        <v>New Revolving Credit Facility ($300)</v>
      </c>
      <c r="F156" s="63">
        <f>C25</f>
        <v>0</v>
      </c>
      <c r="G156" s="108">
        <f>MAX(0,F156+G166+G162+G168)</f>
        <v>0</v>
      </c>
      <c r="H156" s="63">
        <f>MAX(0,G156+H166+H162+H168)</f>
        <v>0</v>
      </c>
      <c r="I156" s="63">
        <f>MAX(0,H156+I166+I162+I168)</f>
        <v>0</v>
      </c>
      <c r="J156" s="63">
        <f>MAX(0,I156+J166+J162+J168)</f>
        <v>0</v>
      </c>
      <c r="K156" s="63">
        <f>MAX(0,J156+K166+K162+K168)</f>
        <v>0</v>
      </c>
    </row>
    <row r="157" spans="2:12" ht="15" customHeight="1" x14ac:dyDescent="0.15">
      <c r="B157" s="107" t="str">
        <f>B26</f>
        <v>New First Lien Term Loan</v>
      </c>
      <c r="F157" s="63">
        <f>C26</f>
        <v>2931.2999999999997</v>
      </c>
      <c r="G157" s="108">
        <f>MAX(0,F157+G163+G169)</f>
        <v>2547.8723193646961</v>
      </c>
      <c r="H157" s="63">
        <f>MAX(0,G157+H163+H169)</f>
        <v>2043.0155017532629</v>
      </c>
      <c r="I157" s="63">
        <f>MAX(0,H157+I163+I169)</f>
        <v>1466.7342500858708</v>
      </c>
      <c r="J157" s="63">
        <f>MAX(0,I157+J163+J169)</f>
        <v>810.56482045526934</v>
      </c>
      <c r="K157" s="63">
        <f>MAX(0,J157+K163+K169)</f>
        <v>67.54060888640447</v>
      </c>
      <c r="L157" s="53"/>
    </row>
    <row r="158" spans="2:12" ht="15" customHeight="1" x14ac:dyDescent="0.15">
      <c r="B158" s="107" t="str">
        <f>B27</f>
        <v>New Senior Unsecured Notes</v>
      </c>
      <c r="F158" s="63">
        <f>C27</f>
        <v>355</v>
      </c>
      <c r="G158" s="108">
        <f>MAX(0,F158+G164+G170)</f>
        <v>355</v>
      </c>
      <c r="H158" s="63">
        <f>MAX(0,G158+H164+H170)</f>
        <v>355</v>
      </c>
      <c r="I158" s="63">
        <f>MAX(0,H158+I164+I170)</f>
        <v>355</v>
      </c>
      <c r="J158" s="63">
        <f>MAX(0,I158+J164+J170)</f>
        <v>355</v>
      </c>
      <c r="K158" s="63">
        <f>MAX(0,J158+K164+K170)</f>
        <v>355</v>
      </c>
    </row>
    <row r="159" spans="2:12" ht="15" customHeight="1" x14ac:dyDescent="0.15">
      <c r="B159" s="40" t="s">
        <v>155</v>
      </c>
      <c r="C159" s="57"/>
      <c r="D159" s="57"/>
      <c r="E159" s="57"/>
      <c r="F159" s="57">
        <f t="shared" ref="F159:K159" si="29">SUM(F156:F158)</f>
        <v>3286.2999999999997</v>
      </c>
      <c r="G159" s="109">
        <f t="shared" si="29"/>
        <v>2902.8723193646961</v>
      </c>
      <c r="H159" s="57">
        <f t="shared" si="29"/>
        <v>2398.0155017532629</v>
      </c>
      <c r="I159" s="57">
        <f t="shared" si="29"/>
        <v>1821.7342500858708</v>
      </c>
      <c r="J159" s="57">
        <f t="shared" si="29"/>
        <v>1165.5648204552695</v>
      </c>
      <c r="K159" s="57">
        <f t="shared" si="29"/>
        <v>422.54060888640447</v>
      </c>
    </row>
    <row r="160" spans="2:12" ht="15" customHeight="1" x14ac:dyDescent="0.15">
      <c r="F160" s="81"/>
      <c r="G160" s="65"/>
      <c r="H160" s="81"/>
      <c r="I160" s="81"/>
      <c r="J160" s="81"/>
      <c r="K160" s="81"/>
    </row>
    <row r="161" spans="2:11" ht="15" customHeight="1" x14ac:dyDescent="0.15">
      <c r="B161" s="116" t="s">
        <v>156</v>
      </c>
      <c r="C161" s="46" t="s">
        <v>157</v>
      </c>
      <c r="D161" s="46" t="s">
        <v>65</v>
      </c>
      <c r="E161" s="125"/>
      <c r="F161" s="125"/>
      <c r="G161" s="65"/>
      <c r="H161" s="125"/>
      <c r="I161" s="125"/>
      <c r="J161" s="125"/>
      <c r="K161" s="125"/>
    </row>
    <row r="162" spans="2:11" ht="15" customHeight="1" x14ac:dyDescent="0.15">
      <c r="B162" s="107" t="str">
        <f>B25</f>
        <v>New Revolving Credit Facility ($300)</v>
      </c>
      <c r="C162" s="126">
        <f>$G$8</f>
        <v>300</v>
      </c>
      <c r="D162" s="127">
        <f>E25</f>
        <v>0</v>
      </c>
      <c r="F162" s="63"/>
      <c r="G162" s="108">
        <f t="shared" ref="G162:K164" si="30">-MIN(F156,$C162*$D162)</f>
        <v>0</v>
      </c>
      <c r="H162" s="63">
        <f t="shared" si="30"/>
        <v>0</v>
      </c>
      <c r="I162" s="63">
        <f t="shared" si="30"/>
        <v>0</v>
      </c>
      <c r="J162" s="63">
        <f t="shared" si="30"/>
        <v>0</v>
      </c>
      <c r="K162" s="63">
        <f t="shared" si="30"/>
        <v>0</v>
      </c>
    </row>
    <row r="163" spans="2:11" ht="15" customHeight="1" x14ac:dyDescent="0.15">
      <c r="B163" s="107" t="str">
        <f>B26</f>
        <v>New First Lien Term Loan</v>
      </c>
      <c r="C163" s="128">
        <f>C26</f>
        <v>2931.2999999999997</v>
      </c>
      <c r="D163" s="127">
        <f>E26</f>
        <v>0.01</v>
      </c>
      <c r="F163" s="63"/>
      <c r="G163" s="108">
        <f t="shared" si="30"/>
        <v>-29.312999999999999</v>
      </c>
      <c r="H163" s="63">
        <f t="shared" si="30"/>
        <v>-29.312999999999999</v>
      </c>
      <c r="I163" s="63">
        <f t="shared" si="30"/>
        <v>-29.312999999999999</v>
      </c>
      <c r="J163" s="63">
        <f t="shared" si="30"/>
        <v>-29.312999999999999</v>
      </c>
      <c r="K163" s="63">
        <f t="shared" si="30"/>
        <v>-29.312999999999999</v>
      </c>
    </row>
    <row r="164" spans="2:11" ht="15" customHeight="1" x14ac:dyDescent="0.15">
      <c r="B164" s="107" t="str">
        <f>B27</f>
        <v>New Senior Unsecured Notes</v>
      </c>
      <c r="C164" s="129">
        <f>C27</f>
        <v>355</v>
      </c>
      <c r="D164" s="130">
        <f>E27</f>
        <v>0</v>
      </c>
      <c r="F164" s="63"/>
      <c r="G164" s="108">
        <f t="shared" si="30"/>
        <v>0</v>
      </c>
      <c r="H164" s="63">
        <f t="shared" si="30"/>
        <v>0</v>
      </c>
      <c r="I164" s="63">
        <f t="shared" si="30"/>
        <v>0</v>
      </c>
      <c r="J164" s="63">
        <f t="shared" si="30"/>
        <v>0</v>
      </c>
      <c r="K164" s="63">
        <f t="shared" si="30"/>
        <v>0</v>
      </c>
    </row>
    <row r="165" spans="2:11" ht="15" customHeight="1" x14ac:dyDescent="0.15">
      <c r="B165" s="40" t="s">
        <v>158</v>
      </c>
      <c r="C165" s="57"/>
      <c r="D165" s="57"/>
      <c r="E165" s="57"/>
      <c r="F165" s="57"/>
      <c r="G165" s="109">
        <f>SUM(G162:G164)</f>
        <v>-29.312999999999999</v>
      </c>
      <c r="H165" s="57">
        <f>SUM(H162:H164)</f>
        <v>-29.312999999999999</v>
      </c>
      <c r="I165" s="57">
        <f>SUM(I162:I164)</f>
        <v>-29.312999999999999</v>
      </c>
      <c r="J165" s="57">
        <f>SUM(J162:J164)</f>
        <v>-29.312999999999999</v>
      </c>
      <c r="K165" s="57">
        <f>SUM(K162:K164)</f>
        <v>-29.312999999999999</v>
      </c>
    </row>
    <row r="166" spans="2:11" ht="15" customHeight="1" x14ac:dyDescent="0.15">
      <c r="B166" s="18" t="s">
        <v>159</v>
      </c>
      <c r="F166" s="81"/>
      <c r="G166" s="131">
        <f>MIN(MAX(0,$G$17-(G140+G131+G165)),MAX(0,$G$8-(F156+G162)))</f>
        <v>0</v>
      </c>
      <c r="H166" s="131">
        <f>MIN(MAX(0,$G$17-(H140+H131+H165)),MAX(0,$G$8-(G156+H162)))</f>
        <v>0</v>
      </c>
      <c r="I166" s="131">
        <f>MIN(MAX(0,$G$17-(I140+I131+I165)),MAX(0,$G$8-(H156+I162)))</f>
        <v>0</v>
      </c>
      <c r="J166" s="131">
        <f>MIN(MAX(0,$G$17-(J140+J131+J165)),MAX(0,$G$8-(I156+J162)))</f>
        <v>0</v>
      </c>
      <c r="K166" s="131">
        <f>MIN(MAX(0,$G$17-(K140+K131+K165)),MAX(0,$G$8-(J156+K162)))</f>
        <v>0</v>
      </c>
    </row>
    <row r="167" spans="2:11" ht="15" customHeight="1" x14ac:dyDescent="0.15">
      <c r="B167" s="116" t="s">
        <v>160</v>
      </c>
      <c r="C167" s="132"/>
      <c r="D167" s="132"/>
      <c r="E167" s="132"/>
      <c r="F167" s="133"/>
      <c r="G167" s="134">
        <f>MAX(0,MIN(G131+G165,G140+G131+G165+G166-$G$17))</f>
        <v>354.11468063530373</v>
      </c>
      <c r="H167" s="134">
        <f>MAX(0,MIN(H131+H165,H140+H131+H165+H166-$G$17))</f>
        <v>475.54381761143304</v>
      </c>
      <c r="I167" s="134">
        <f>MAX(0,MIN(I131+I165,I140+I131+I165+I166-$G$17))</f>
        <v>546.96825166739188</v>
      </c>
      <c r="J167" s="134">
        <f>MAX(0,MIN(J131+J165,J140+J131+J165+J166-$G$17))</f>
        <v>626.85642963060138</v>
      </c>
      <c r="K167" s="134">
        <f>MAX(0,MIN(K131+K165,K140+K131+K165+K166-$G$17))</f>
        <v>713.71121156886488</v>
      </c>
    </row>
    <row r="168" spans="2:11" ht="15" customHeight="1" x14ac:dyDescent="0.15">
      <c r="B168" s="107" t="str">
        <f>B25</f>
        <v>New Revolving Credit Facility ($300)</v>
      </c>
      <c r="F168" s="63"/>
      <c r="G168" s="108">
        <f>-MIN(MAX(0,F156+G166+G162),G167*$G$11)</f>
        <v>0</v>
      </c>
      <c r="H168" s="63">
        <f>-MIN(MAX(0,G156+H166+H162),H167*$G$11)</f>
        <v>0</v>
      </c>
      <c r="I168" s="63">
        <f>-MIN(MAX(0,H156+I166+I162),I167*$G$11)</f>
        <v>0</v>
      </c>
      <c r="J168" s="63">
        <f>-MIN(MAX(0,I156+J166+J162),J167*$G$11)</f>
        <v>0</v>
      </c>
      <c r="K168" s="63">
        <f>-MIN(MAX(0,J156+K166+K162),K167*$G$11)</f>
        <v>0</v>
      </c>
    </row>
    <row r="169" spans="2:11" ht="15" customHeight="1" x14ac:dyDescent="0.15">
      <c r="B169" s="107" t="str">
        <f>B26</f>
        <v>New First Lien Term Loan</v>
      </c>
      <c r="F169" s="63"/>
      <c r="G169" s="108">
        <f>-MIN(MAX(0,F157+G163),MAX(0,G167*$G$11+G168))</f>
        <v>-354.11468063530373</v>
      </c>
      <c r="H169" s="63">
        <f>-MIN(MAX(0,G157+H163),MAX(0,H167*$G$11+H168))</f>
        <v>-475.54381761143304</v>
      </c>
      <c r="I169" s="63">
        <f>-MIN(MAX(0,H157+I163),MAX(0,I167*$G$11+I168))</f>
        <v>-546.96825166739188</v>
      </c>
      <c r="J169" s="63">
        <f>-MIN(MAX(0,I157+J163),MAX(0,J167*$G$11+J168))</f>
        <v>-626.85642963060138</v>
      </c>
      <c r="K169" s="63">
        <f>-MIN(MAX(0,J157+K163),MAX(0,K167*$G$11+K168))</f>
        <v>-713.71121156886488</v>
      </c>
    </row>
    <row r="170" spans="2:11" ht="15" customHeight="1" x14ac:dyDescent="0.2">
      <c r="B170" s="107" t="str">
        <f>B27</f>
        <v>New Senior Unsecured Notes</v>
      </c>
      <c r="C170" s="135" t="s">
        <v>161</v>
      </c>
      <c r="F170" s="136"/>
      <c r="G170" s="137">
        <f>0</f>
        <v>0</v>
      </c>
      <c r="H170" s="138">
        <f>0</f>
        <v>0</v>
      </c>
      <c r="I170" s="138">
        <f>0</f>
        <v>0</v>
      </c>
      <c r="J170" s="138">
        <f>0</f>
        <v>0</v>
      </c>
      <c r="K170" s="138">
        <f>0</f>
        <v>0</v>
      </c>
    </row>
    <row r="171" spans="2:11" ht="15" customHeight="1" x14ac:dyDescent="0.15">
      <c r="B171" s="40" t="s">
        <v>162</v>
      </c>
      <c r="C171" s="57"/>
      <c r="D171" s="57"/>
      <c r="E171" s="57"/>
      <c r="F171" s="57"/>
      <c r="G171" s="109">
        <f>SUM(G168:G170)</f>
        <v>-354.11468063530373</v>
      </c>
      <c r="H171" s="57">
        <f>SUM(H168:H170)</f>
        <v>-475.54381761143304</v>
      </c>
      <c r="I171" s="57">
        <f>SUM(I168:I170)</f>
        <v>-546.96825166739188</v>
      </c>
      <c r="J171" s="57">
        <f>SUM(J168:J170)</f>
        <v>-626.85642963060138</v>
      </c>
      <c r="K171" s="57">
        <f>SUM(K168:K170)</f>
        <v>-713.71121156886488</v>
      </c>
    </row>
    <row r="172" spans="2:11" ht="15" customHeight="1" x14ac:dyDescent="0.15">
      <c r="F172" s="81"/>
      <c r="G172" s="65"/>
      <c r="H172" s="81"/>
      <c r="I172" s="81"/>
      <c r="J172" s="81"/>
      <c r="K172" s="81"/>
    </row>
    <row r="173" spans="2:11" ht="15" customHeight="1" x14ac:dyDescent="0.15">
      <c r="B173" s="116" t="s">
        <v>163</v>
      </c>
      <c r="C173" s="46" t="s">
        <v>164</v>
      </c>
      <c r="D173" s="46" t="s">
        <v>67</v>
      </c>
      <c r="E173" s="125"/>
      <c r="F173" s="125"/>
      <c r="G173" s="65"/>
      <c r="H173" s="125"/>
      <c r="I173" s="125"/>
      <c r="J173" s="125"/>
      <c r="K173" s="125"/>
    </row>
    <row r="174" spans="2:11" ht="15" customHeight="1" x14ac:dyDescent="0.15">
      <c r="B174" s="107" t="str">
        <f>B25</f>
        <v>New Revolving Credit Facility ($300)</v>
      </c>
      <c r="C174" s="126">
        <f>G8</f>
        <v>300</v>
      </c>
      <c r="D174" s="139">
        <f>G25</f>
        <v>350</v>
      </c>
      <c r="F174" s="63"/>
      <c r="G174" s="108">
        <f>-IF(Circ=1,G8*G9,0)</f>
        <v>-3</v>
      </c>
      <c r="H174" s="63">
        <f>-IF(Circ=1,G8*G9,0)</f>
        <v>-3</v>
      </c>
      <c r="I174" s="63">
        <f>-IF(Circ=1,G8*G9,0)</f>
        <v>-3</v>
      </c>
      <c r="J174" s="63">
        <f>-IF(Circ=1,G8*G9,0)</f>
        <v>-3</v>
      </c>
      <c r="K174" s="63">
        <f>-IF(Circ=1,G8*G9,0)</f>
        <v>-3</v>
      </c>
    </row>
    <row r="175" spans="2:11" ht="15" customHeight="1" x14ac:dyDescent="0.15">
      <c r="B175" s="107" t="str">
        <f>B26</f>
        <v>New First Lien Term Loan</v>
      </c>
      <c r="C175" s="128">
        <f>C26</f>
        <v>2931.2999999999997</v>
      </c>
      <c r="D175" s="139">
        <f>G26</f>
        <v>375</v>
      </c>
      <c r="F175" s="140"/>
      <c r="G175" s="108">
        <f>-IF(Circ=1,(F157+G163/2)*(D175/10000+MAX($G$10,AVERAGE(F$69:G$69))),0)</f>
        <v>-224.727381675</v>
      </c>
      <c r="H175" s="63">
        <f>-IF(Circ=1,(G157+H163/2)*(D175/10000+MAX($G$10,AVERAGE(G$69:H$69))),0)</f>
        <v>-195.88091323237512</v>
      </c>
      <c r="I175" s="63">
        <f>-IF(Circ=1,(H157+I163/2)*(D175/10000+MAX($G$10,AVERAGE(H$69:I$69))),0)</f>
        <v>-157.45136751109703</v>
      </c>
      <c r="J175" s="63">
        <f>-IF(Circ=1,(I157+J163/2)*(D175/10000+MAX($G$10,AVERAGE(I$69:J$69))),0)</f>
        <v>-113.87919755048441</v>
      </c>
      <c r="K175" s="63">
        <f>-IF(Circ=1,(J157+K163/2)*(D175/10000+MAX($G$10,AVERAGE(J$69:K$69))),0)</f>
        <v>-63.35430230823944</v>
      </c>
    </row>
    <row r="176" spans="2:11" ht="15" customHeight="1" x14ac:dyDescent="0.15">
      <c r="B176" s="107" t="str">
        <f>B27</f>
        <v>New Senior Unsecured Notes</v>
      </c>
      <c r="C176" s="129">
        <f>C27</f>
        <v>355</v>
      </c>
      <c r="D176" s="130">
        <f>G27</f>
        <v>7.4999999999999997E-2</v>
      </c>
      <c r="F176" s="136"/>
      <c r="G176" s="108">
        <f>-IF(Circ=1,F158*D176,0)</f>
        <v>-26.625</v>
      </c>
      <c r="H176" s="63">
        <f>-IF(Circ=1,G158*D176,0)</f>
        <v>-26.625</v>
      </c>
      <c r="I176" s="63">
        <f>-IF(Circ=1,H158*D176,0)</f>
        <v>-26.625</v>
      </c>
      <c r="J176" s="63">
        <f>-IF(Circ=1,I158*D176,0)</f>
        <v>-26.625</v>
      </c>
      <c r="K176" s="63">
        <f>-IF(Circ=1,J158*D176,0)</f>
        <v>-26.625</v>
      </c>
    </row>
    <row r="177" spans="2:11" ht="15" customHeight="1" x14ac:dyDescent="0.15">
      <c r="B177" s="40" t="s">
        <v>165</v>
      </c>
      <c r="C177" s="57"/>
      <c r="D177" s="57"/>
      <c r="E177" s="57"/>
      <c r="F177" s="57"/>
      <c r="G177" s="109">
        <f>SUM(G174:G176)</f>
        <v>-254.352381675</v>
      </c>
      <c r="H177" s="57">
        <f>SUM(H174:H176)</f>
        <v>-225.50591323237512</v>
      </c>
      <c r="I177" s="57">
        <f>SUM(I174:I176)</f>
        <v>-187.07636751109703</v>
      </c>
      <c r="J177" s="57">
        <f>SUM(J174:J176)</f>
        <v>-143.50419755048441</v>
      </c>
      <c r="K177" s="57">
        <f>SUM(K174:K176)</f>
        <v>-92.97930230823944</v>
      </c>
    </row>
    <row r="179" spans="2:11" ht="15" customHeight="1" x14ac:dyDescent="0.15">
      <c r="B179" s="208" t="s">
        <v>166</v>
      </c>
      <c r="C179" s="208"/>
      <c r="D179" s="208"/>
      <c r="E179" s="208"/>
      <c r="F179" s="208"/>
      <c r="G179" s="208"/>
      <c r="H179" s="208"/>
      <c r="I179" s="208"/>
      <c r="J179" s="208"/>
      <c r="K179" s="208"/>
    </row>
    <row r="181" spans="2:11" ht="15" customHeight="1" x14ac:dyDescent="0.15">
      <c r="B181" s="116" t="s">
        <v>167</v>
      </c>
      <c r="C181" s="67"/>
      <c r="D181" s="67"/>
      <c r="E181" s="67"/>
      <c r="F181" s="67"/>
      <c r="G181" s="68" t="str">
        <f>G$2&amp;G$3</f>
        <v>2027E</v>
      </c>
      <c r="H181" s="67" t="str">
        <f>H$2&amp;H$3</f>
        <v>2028E</v>
      </c>
      <c r="I181" s="67" t="str">
        <f>I$2&amp;I$3</f>
        <v>2029E</v>
      </c>
      <c r="J181" s="67" t="str">
        <f>J$2&amp;J$3</f>
        <v>2030E</v>
      </c>
      <c r="K181" s="67" t="str">
        <f>K$2&amp;K$3</f>
        <v>2031E</v>
      </c>
    </row>
    <row r="182" spans="2:11" ht="15" customHeight="1" x14ac:dyDescent="0.15">
      <c r="B182" s="107" t="s">
        <v>130</v>
      </c>
      <c r="C182" s="63"/>
      <c r="D182" s="117"/>
      <c r="E182" s="117"/>
      <c r="F182" s="63"/>
      <c r="G182" s="141">
        <f>+G118</f>
        <v>794.06189999999992</v>
      </c>
      <c r="H182" s="62">
        <f>+H118</f>
        <v>909.58509900000024</v>
      </c>
      <c r="I182" s="62">
        <f>+I118</f>
        <v>968.95702188000041</v>
      </c>
      <c r="J182" s="62">
        <f>+J118</f>
        <v>1034.7213821274006</v>
      </c>
      <c r="K182" s="62">
        <f>+K118</f>
        <v>1104.8892203257201</v>
      </c>
    </row>
    <row r="183" spans="2:11" ht="15" customHeight="1" x14ac:dyDescent="0.15">
      <c r="B183" s="107" t="s">
        <v>168</v>
      </c>
      <c r="C183" s="63"/>
      <c r="D183" s="117"/>
      <c r="E183" s="117"/>
      <c r="F183" s="142"/>
      <c r="G183" s="143">
        <f>+$K$9</f>
        <v>12.951876654927849</v>
      </c>
      <c r="H183" s="142">
        <f>+$K$9</f>
        <v>12.951876654927849</v>
      </c>
      <c r="I183" s="142">
        <f>+$K$9</f>
        <v>12.951876654927849</v>
      </c>
      <c r="J183" s="142">
        <f>+$K$9</f>
        <v>12.951876654927849</v>
      </c>
      <c r="K183" s="142">
        <f>+$K$9</f>
        <v>12.951876654927849</v>
      </c>
    </row>
    <row r="184" spans="2:11" ht="15" customHeight="1" x14ac:dyDescent="0.15">
      <c r="B184" s="40" t="s">
        <v>169</v>
      </c>
      <c r="C184" s="57"/>
      <c r="D184" s="57"/>
      <c r="E184" s="57"/>
      <c r="F184" s="57"/>
      <c r="G184" s="109">
        <f>+G182*G183</f>
        <v>10284.591785177652</v>
      </c>
      <c r="H184" s="57">
        <f>+H182*H183</f>
        <v>11780.83400940834</v>
      </c>
      <c r="I184" s="57">
        <f>+I182*I183</f>
        <v>12549.81183131599</v>
      </c>
      <c r="J184" s="57">
        <f>+J182*J183</f>
        <v>13401.583713530557</v>
      </c>
      <c r="K184" s="57">
        <f>+K182*K183</f>
        <v>14310.388899018128</v>
      </c>
    </row>
    <row r="185" spans="2:11" ht="15" customHeight="1" x14ac:dyDescent="0.15">
      <c r="B185" s="107" t="s">
        <v>170</v>
      </c>
      <c r="F185" s="63"/>
      <c r="G185" s="108">
        <f>-G159</f>
        <v>-2902.8723193646961</v>
      </c>
      <c r="H185" s="63">
        <f>-H159</f>
        <v>-2398.0155017532629</v>
      </c>
      <c r="I185" s="63">
        <f>-I159</f>
        <v>-1821.7342500858708</v>
      </c>
      <c r="J185" s="63">
        <f>-J159</f>
        <v>-1165.5648204552695</v>
      </c>
      <c r="K185" s="63">
        <f>-K159</f>
        <v>-422.54060888640447</v>
      </c>
    </row>
    <row r="186" spans="2:11" ht="15" customHeight="1" x14ac:dyDescent="0.15">
      <c r="B186" s="107" t="s">
        <v>171</v>
      </c>
      <c r="F186" s="63"/>
      <c r="G186" s="108">
        <f>G142</f>
        <v>50</v>
      </c>
      <c r="H186" s="63">
        <f>H142</f>
        <v>50</v>
      </c>
      <c r="I186" s="63">
        <f>I142</f>
        <v>50</v>
      </c>
      <c r="J186" s="63">
        <f>J142</f>
        <v>50</v>
      </c>
      <c r="K186" s="63">
        <f>K142</f>
        <v>50</v>
      </c>
    </row>
    <row r="187" spans="2:11" ht="15" customHeight="1" x14ac:dyDescent="0.15">
      <c r="B187" s="107" t="s">
        <v>172</v>
      </c>
      <c r="F187" s="63"/>
      <c r="G187" s="108">
        <f>+IF(G2=$K$8,-G184*$K$10,0)</f>
        <v>0</v>
      </c>
      <c r="H187" s="63">
        <f>+IF(H2=$K$8,-H184*$K$10,0)</f>
        <v>0</v>
      </c>
      <c r="I187" s="63">
        <f>+IF(I2=$K$8,-I184*$K$10,0)</f>
        <v>0</v>
      </c>
      <c r="J187" s="63">
        <f>+IF(J2=$K$8,-J184*$K$10,0)</f>
        <v>0</v>
      </c>
      <c r="K187" s="63">
        <f>+IF(K2=$K$8,-K184*$K$10,0)</f>
        <v>-429.3116669705438</v>
      </c>
    </row>
    <row r="188" spans="2:11" ht="15" customHeight="1" x14ac:dyDescent="0.15">
      <c r="B188" s="40" t="s">
        <v>173</v>
      </c>
      <c r="C188" s="57"/>
      <c r="D188" s="57"/>
      <c r="E188" s="57"/>
      <c r="F188" s="57"/>
      <c r="G188" s="109">
        <f>+SUM(G184:G187)</f>
        <v>7431.7194658129556</v>
      </c>
      <c r="H188" s="57">
        <f>+SUM(H184:H187)</f>
        <v>9432.8185076550762</v>
      </c>
      <c r="I188" s="57">
        <f>+SUM(I184:I187)</f>
        <v>10778.07758123012</v>
      </c>
      <c r="J188" s="57">
        <f>+SUM(J184:J187)</f>
        <v>12286.018893075288</v>
      </c>
      <c r="K188" s="57">
        <f>+SUM(K184:K187)</f>
        <v>13508.536623161181</v>
      </c>
    </row>
    <row r="189" spans="2:11" ht="15" customHeight="1" x14ac:dyDescent="0.15">
      <c r="G189" s="65"/>
    </row>
    <row r="190" spans="2:11" ht="15" customHeight="1" x14ac:dyDescent="0.15">
      <c r="B190" s="116" t="s">
        <v>174</v>
      </c>
      <c r="C190" s="67"/>
      <c r="D190" s="67"/>
      <c r="E190" s="67"/>
      <c r="F190" s="144">
        <f t="shared" ref="F190:K190" si="31">DATE(2026,12,31)</f>
        <v>46387</v>
      </c>
      <c r="G190" s="145">
        <f>DATE(G2,$K$14,$K$15)</f>
        <v>46752</v>
      </c>
      <c r="H190" s="144">
        <f>DATE(H2,$K$14,$K$15)</f>
        <v>47118</v>
      </c>
      <c r="I190" s="144">
        <f>DATE(I2,$K$14,$K$15)</f>
        <v>47483</v>
      </c>
      <c r="J190" s="144">
        <f>DATE(J2,$K$14,$K$15)</f>
        <v>47848</v>
      </c>
      <c r="K190" s="144">
        <f>DATE(K2,$K$14,$K$15)</f>
        <v>48213</v>
      </c>
    </row>
    <row r="191" spans="2:11" ht="15" customHeight="1" x14ac:dyDescent="0.15">
      <c r="B191" s="107" t="s">
        <v>175</v>
      </c>
      <c r="C191" s="63"/>
      <c r="D191" s="117"/>
      <c r="E191" s="117"/>
      <c r="F191" s="63">
        <f>+C29*-1</f>
        <v>-5394.5882275502026</v>
      </c>
      <c r="G191" s="137">
        <v>0</v>
      </c>
      <c r="H191" s="138">
        <v>0</v>
      </c>
      <c r="I191" s="138">
        <v>0</v>
      </c>
      <c r="J191" s="138">
        <v>0</v>
      </c>
      <c r="K191" s="138">
        <v>0</v>
      </c>
    </row>
    <row r="192" spans="2:11" ht="15" customHeight="1" x14ac:dyDescent="0.15">
      <c r="B192" s="107" t="s">
        <v>176</v>
      </c>
      <c r="C192" s="63"/>
      <c r="D192" s="117"/>
      <c r="E192" s="117"/>
      <c r="F192" s="138">
        <v>0</v>
      </c>
      <c r="G192" s="108">
        <f>0</f>
        <v>0</v>
      </c>
      <c r="H192" s="63">
        <f>0</f>
        <v>0</v>
      </c>
      <c r="I192" s="63">
        <f>0</f>
        <v>0</v>
      </c>
      <c r="J192" s="63">
        <f>0</f>
        <v>0</v>
      </c>
      <c r="K192" s="63">
        <f>0</f>
        <v>0</v>
      </c>
    </row>
    <row r="193" spans="1:11" ht="15" customHeight="1" x14ac:dyDescent="0.15">
      <c r="B193" s="107" t="s">
        <v>177</v>
      </c>
      <c r="C193" s="63"/>
      <c r="D193" s="117"/>
      <c r="E193" s="117"/>
      <c r="F193" s="138">
        <v>0</v>
      </c>
      <c r="G193" s="108">
        <f>IF(G2=$K$8,G188,0)</f>
        <v>0</v>
      </c>
      <c r="H193" s="63">
        <f>IF(H2=$K$8,H188,0)</f>
        <v>0</v>
      </c>
      <c r="I193" s="63">
        <f>IF(I2=$K$8,I188,0)</f>
        <v>0</v>
      </c>
      <c r="J193" s="63">
        <f>IF(J2=$K$8,J188,0)</f>
        <v>0</v>
      </c>
      <c r="K193" s="63">
        <f>IF(K2=$K$8,K188,0)</f>
        <v>13508.536623161181</v>
      </c>
    </row>
    <row r="194" spans="1:11" ht="15" customHeight="1" x14ac:dyDescent="0.15">
      <c r="B194" s="40" t="s">
        <v>178</v>
      </c>
      <c r="C194" s="57"/>
      <c r="D194" s="57"/>
      <c r="E194" s="57"/>
      <c r="F194" s="57">
        <f t="shared" ref="F194:K194" si="32">SUM(F191:F193)</f>
        <v>-5394.5882275502026</v>
      </c>
      <c r="G194" s="109">
        <f t="shared" si="32"/>
        <v>0</v>
      </c>
      <c r="H194" s="57">
        <f t="shared" si="32"/>
        <v>0</v>
      </c>
      <c r="I194" s="57">
        <f t="shared" si="32"/>
        <v>0</v>
      </c>
      <c r="J194" s="57">
        <f t="shared" si="32"/>
        <v>0</v>
      </c>
      <c r="K194" s="57">
        <f t="shared" si="32"/>
        <v>13508.536623161181</v>
      </c>
    </row>
    <row r="196" spans="1:11" ht="15" customHeight="1" x14ac:dyDescent="0.15">
      <c r="B196" s="146" t="s">
        <v>179</v>
      </c>
      <c r="C196" s="147">
        <f>IF(-F194&gt;0,SUM(G194:K194)/-F194,"N/A")</f>
        <v>2.5040904056722963</v>
      </c>
    </row>
    <row r="197" spans="1:11" ht="15" customHeight="1" x14ac:dyDescent="0.15">
      <c r="B197" s="148" t="s">
        <v>180</v>
      </c>
      <c r="C197" s="149">
        <f>IF(AND(F194&lt;0,COUNTIF(G194:K194,"&gt;0")&gt;0,COUNT(F190:K190)=6),IRR(F194:K194),"N/A")</f>
        <v>0.20151722389410032</v>
      </c>
    </row>
    <row r="199" spans="1:11" ht="24" customHeight="1" x14ac:dyDescent="0.15">
      <c r="A199" s="150"/>
      <c r="B199" s="151" t="s">
        <v>181</v>
      </c>
      <c r="C199" s="151"/>
      <c r="D199" s="151"/>
      <c r="E199" s="151"/>
      <c r="F199" s="151"/>
      <c r="G199" s="151"/>
      <c r="H199" s="151"/>
      <c r="I199" s="151"/>
      <c r="J199" s="151"/>
      <c r="K199" s="151"/>
    </row>
    <row r="200" spans="1:11" ht="26" customHeight="1" x14ac:dyDescent="0.15">
      <c r="B200" s="152" t="s">
        <v>83</v>
      </c>
      <c r="C200" s="152" t="s">
        <v>182</v>
      </c>
      <c r="D200" s="152" t="s">
        <v>183</v>
      </c>
      <c r="E200" s="152" t="s">
        <v>184</v>
      </c>
      <c r="F200" s="152" t="s">
        <v>185</v>
      </c>
      <c r="G200" s="152" t="s">
        <v>186</v>
      </c>
      <c r="H200" s="209" t="s">
        <v>187</v>
      </c>
      <c r="I200" s="209"/>
      <c r="J200" s="209"/>
      <c r="K200" s="209"/>
    </row>
    <row r="201" spans="1:11" ht="30" customHeight="1" x14ac:dyDescent="0.15">
      <c r="B201" s="153" t="s">
        <v>188</v>
      </c>
      <c r="C201" s="154">
        <f>C30-C38</f>
        <v>0</v>
      </c>
      <c r="D201" s="154">
        <f>0</f>
        <v>0</v>
      </c>
      <c r="E201" s="154">
        <f t="shared" ref="E201:E216" si="33">C201-D201</f>
        <v>0</v>
      </c>
      <c r="F201" s="154">
        <v>0.01</v>
      </c>
      <c r="G201" s="155" t="str">
        <f t="shared" ref="G201:G216" si="34">IF(ABS(E201)&lt;=F201,"OK","ERROR")</f>
        <v>OK</v>
      </c>
      <c r="H201" s="210" t="s">
        <v>189</v>
      </c>
      <c r="I201" s="210"/>
      <c r="J201" s="210"/>
      <c r="K201" s="210"/>
    </row>
    <row r="202" spans="1:11" ht="30" customHeight="1" x14ac:dyDescent="0.15">
      <c r="B202" s="153" t="s">
        <v>190</v>
      </c>
      <c r="C202" s="154">
        <f>MAX(ABS(G140+G141-G142),ABS(H140+H141-H142),ABS(I140+I141-I142),ABS(J140+J141-J142),ABS(K140+K141-K142))</f>
        <v>0</v>
      </c>
      <c r="D202" s="154">
        <f>0</f>
        <v>0</v>
      </c>
      <c r="E202" s="154">
        <f t="shared" si="33"/>
        <v>0</v>
      </c>
      <c r="F202" s="154">
        <v>0.01</v>
      </c>
      <c r="G202" s="155" t="str">
        <f t="shared" si="34"/>
        <v>OK</v>
      </c>
      <c r="H202" s="210" t="s">
        <v>191</v>
      </c>
      <c r="I202" s="210"/>
      <c r="J202" s="210"/>
      <c r="K202" s="210"/>
    </row>
    <row r="203" spans="1:11" ht="30" customHeight="1" x14ac:dyDescent="0.15">
      <c r="B203" s="153" t="s">
        <v>192</v>
      </c>
      <c r="C203" s="154">
        <f>MAX(ABS(G156-(F156+G162+G166+G168)),ABS(G157-(F157+G163+G169)),ABS(G158-(F158+G164+G170)),ABS(G159-SUM(G156:G158)),ABS(H156-(G156+H162+H166+H168)),ABS(H157-(G157+H163+H169)),ABS(H158-(G158+H164+H170)),ABS(H159-SUM(H156:H158)),ABS(I156-(H156+I162+I166+I168)),ABS(I157-(H157+I163+I169)),ABS(I158-(H158+I164+I170)),ABS(I159-SUM(I156:I158)),ABS(J156-(I156+J162+J166+J168)),ABS(J157-(I157+J163+J169)),ABS(J158-(I158+J164+J170)),ABS(J159-SUM(J156:J158)),ABS(K156-(J156+K162+K166+K168)),ABS(K157-(J157+K163+K169)),ABS(K158-(J158+K164+K170)),ABS(K159-SUM(K156:K158)))</f>
        <v>0</v>
      </c>
      <c r="D203" s="154">
        <v>0</v>
      </c>
      <c r="E203" s="154">
        <f t="shared" si="33"/>
        <v>0</v>
      </c>
      <c r="F203" s="154">
        <v>0.01</v>
      </c>
      <c r="G203" s="155" t="str">
        <f t="shared" si="34"/>
        <v>OK</v>
      </c>
      <c r="H203" s="210" t="s">
        <v>193</v>
      </c>
      <c r="I203" s="210"/>
      <c r="J203" s="210"/>
      <c r="K203" s="210"/>
    </row>
    <row r="204" spans="1:11" ht="40" customHeight="1" x14ac:dyDescent="0.15">
      <c r="B204" s="153" t="s">
        <v>194</v>
      </c>
      <c r="C204" s="154">
        <f>MAX(ABS(G142-(G140+G135)),ABS(H142-(H140+H135)),ABS(I142-(I140+I135)),ABS(J142-(J140+J135)),ABS(K142-(K140+K135)),ABS(G147-SUM(G145:G146)),ABS(H147-SUM(H145:H146)),ABS(I147-SUM(I145:I146)),ABS(J147-SUM(J145:J146)),ABS(K147-SUM(K145:K146)),ABS(G151-(G150-F150)),ABS(H151-(H150-G150)),ABS(I151-(I150-H150)),ABS(J151-(J150-I150)),ABS(K151-(K150-J150)),ABS(G159-SUM(G156:G158)),ABS(H159-SUM(H156:H158)),ABS(I159-SUM(I156:I158)),ABS(J159-SUM(J156:J158)),ABS(K159-SUM(K156:K158)))</f>
        <v>0</v>
      </c>
      <c r="D204" s="154">
        <f>0</f>
        <v>0</v>
      </c>
      <c r="E204" s="154">
        <f t="shared" si="33"/>
        <v>0</v>
      </c>
      <c r="F204" s="154">
        <v>0.01</v>
      </c>
      <c r="G204" s="155" t="str">
        <f t="shared" si="34"/>
        <v>OK</v>
      </c>
      <c r="H204" s="210" t="s">
        <v>195</v>
      </c>
      <c r="I204" s="210"/>
      <c r="J204" s="210"/>
      <c r="K204" s="210"/>
    </row>
    <row r="205" spans="1:11" ht="30" customHeight="1" x14ac:dyDescent="0.15">
      <c r="B205" s="153" t="s">
        <v>196</v>
      </c>
      <c r="C205" s="154">
        <f>MAX(ABS(F194-SUM(F191:F193)),ABS(G194-SUM(G191:G193)),ABS(H194-SUM(H191:H193)),ABS(I194-SUM(I191:I193)),ABS(J194-SUM(J191:J193)),ABS(K194-SUM(K191:K193)))</f>
        <v>0</v>
      </c>
      <c r="D205" s="154">
        <f>0</f>
        <v>0</v>
      </c>
      <c r="E205" s="154">
        <f t="shared" si="33"/>
        <v>0</v>
      </c>
      <c r="F205" s="154">
        <v>0.01</v>
      </c>
      <c r="G205" s="155" t="str">
        <f t="shared" si="34"/>
        <v>OK</v>
      </c>
      <c r="H205" s="210" t="s">
        <v>197</v>
      </c>
      <c r="I205" s="210"/>
      <c r="J205" s="210"/>
      <c r="K205" s="210"/>
    </row>
    <row r="206" spans="1:11" ht="40" customHeight="1" x14ac:dyDescent="0.15">
      <c r="B206" s="153" t="s">
        <v>198</v>
      </c>
      <c r="C206" s="154">
        <f>IF(AND(C2="",C3="",D2=$K$11-2,E2=D2+1,F2=$K$11,G2=F2+2,H2=G2+1,I2=H2+1,J2=I2+1,K2=J2+1,COUNTIF(D3:F3,"A")=3,COUNTIF(G3:K3,"E")=5,YEAR(F190)=F2+1,YEAR(G190)=G2,YEAR(H190)=H2,YEAR(I190)=I2,YEAR(J190)=J2,YEAR(K190)=K2,MONTH(F190)=$K$14,MONTH(G190)=$K$14,MONTH(H190)=$K$14,MONTH(I190)=$K$14,MONTH(J190)=$K$14,MONTH(K190)=$K$14,DAY(F190)=$K$15,DAY(G190)=$K$15,DAY(H190)=$K$15,DAY(I190)=$K$15,DAY(J190)=$K$15,DAY(K190)=$K$15,$K$8=K2),0,1)</f>
        <v>0</v>
      </c>
      <c r="D206" s="154">
        <v>0</v>
      </c>
      <c r="E206" s="154">
        <f t="shared" si="33"/>
        <v>0</v>
      </c>
      <c r="F206" s="154">
        <v>0</v>
      </c>
      <c r="G206" s="155" t="str">
        <f t="shared" si="34"/>
        <v>OK</v>
      </c>
      <c r="H206" s="210" t="s">
        <v>199</v>
      </c>
      <c r="I206" s="210"/>
      <c r="J206" s="210"/>
      <c r="K206" s="210"/>
    </row>
    <row r="207" spans="1:11" ht="30" customHeight="1" x14ac:dyDescent="0.15">
      <c r="B207" s="153" t="s">
        <v>200</v>
      </c>
      <c r="C207" s="154">
        <f>IF(OR(ISERROR(C30),ISERROR(C38),ISERROR(G16),ISERROR(G108),ISERROR(K108),ISERROR(G135),ISERROR(K135),ISERROR(G142),ISERROR(K142),ISERROR(G156),ISERROR(K159),ISERROR(G174),ISERROR(K177),ISERROR(G188),ISERROR(K188),ISERROR(C196),ISERROR(C197)),1,0)</f>
        <v>0</v>
      </c>
      <c r="D207" s="154">
        <f>0</f>
        <v>0</v>
      </c>
      <c r="E207" s="154">
        <f t="shared" si="33"/>
        <v>0</v>
      </c>
      <c r="F207" s="154">
        <v>0</v>
      </c>
      <c r="G207" s="155" t="str">
        <f t="shared" si="34"/>
        <v>OK</v>
      </c>
      <c r="H207" s="210" t="s">
        <v>201</v>
      </c>
      <c r="I207" s="210"/>
      <c r="J207" s="210"/>
      <c r="K207" s="210"/>
    </row>
    <row r="208" spans="1:11" ht="30" customHeight="1" x14ac:dyDescent="0.15">
      <c r="B208" s="153" t="s">
        <v>202</v>
      </c>
      <c r="C208" s="154">
        <f>MAX(ABS(G131+G166+G165+G171-G135),ABS(H131+H166+H165+H171-H135),ABS(I131+I166+I165+I171-I135),ABS(J131+J166+J165+J171-J135),ABS(K131+K166+K165+K171-K135))</f>
        <v>0</v>
      </c>
      <c r="D208" s="154">
        <f>0</f>
        <v>0</v>
      </c>
      <c r="E208" s="154">
        <f t="shared" si="33"/>
        <v>0</v>
      </c>
      <c r="F208" s="154">
        <v>0.01</v>
      </c>
      <c r="G208" s="155" t="str">
        <f t="shared" si="34"/>
        <v>OK</v>
      </c>
      <c r="H208" s="210" t="s">
        <v>203</v>
      </c>
      <c r="I208" s="210"/>
      <c r="J208" s="210"/>
      <c r="K208" s="210"/>
    </row>
    <row r="209" spans="1:11" ht="30" customHeight="1" x14ac:dyDescent="0.15">
      <c r="B209" s="153" t="s">
        <v>204</v>
      </c>
      <c r="C209" s="154">
        <f>MAX(ABS(G192),ABS(H192),ABS(I192),ABS(J192),ABS(K192),ABS(SUM(G193:K193)-(IF(G2=$K$8,G188,0)+IF(H2=$K$8,H188,0)+IF(I2=$K$8,I188,0)+IF(J2=$K$8,J188,0)+IF(K2=$K$8,K188,0))))</f>
        <v>0</v>
      </c>
      <c r="D209" s="154">
        <f>0</f>
        <v>0</v>
      </c>
      <c r="E209" s="154">
        <f t="shared" si="33"/>
        <v>0</v>
      </c>
      <c r="F209" s="154">
        <v>0.01</v>
      </c>
      <c r="G209" s="155" t="str">
        <f t="shared" si="34"/>
        <v>OK</v>
      </c>
      <c r="H209" s="210" t="s">
        <v>205</v>
      </c>
      <c r="I209" s="210"/>
      <c r="J209" s="210"/>
      <c r="K209" s="210"/>
    </row>
    <row r="210" spans="1:11" ht="30" customHeight="1" x14ac:dyDescent="0.15">
      <c r="B210" s="153" t="s">
        <v>206</v>
      </c>
      <c r="C210" s="154">
        <f>SUM(IF(G106&lt;=0,ABS(G108),ABS(G108+G106*$G$16)),IF(H106&lt;=0,ABS(H108),ABS(H108+H106*$G$16)),IF(I106&lt;=0,ABS(I108),ABS(I108+I106*$G$16)),IF(J106&lt;=0,ABS(J108),ABS(J108+J106*$G$16)),IF(K106&lt;=0,ABS(K108),ABS(K108+K106*$G$16)))</f>
        <v>0</v>
      </c>
      <c r="D210" s="154">
        <f>0</f>
        <v>0</v>
      </c>
      <c r="E210" s="154">
        <f t="shared" si="33"/>
        <v>0</v>
      </c>
      <c r="F210" s="154">
        <v>0.01</v>
      </c>
      <c r="G210" s="155" t="str">
        <f t="shared" si="34"/>
        <v>OK</v>
      </c>
      <c r="H210" s="210" t="s">
        <v>207</v>
      </c>
      <c r="I210" s="210"/>
      <c r="J210" s="210"/>
      <c r="K210" s="210"/>
    </row>
    <row r="211" spans="1:11" ht="40" customHeight="1" x14ac:dyDescent="0.15">
      <c r="B211" s="153" t="s">
        <v>208</v>
      </c>
      <c r="C211" s="154">
        <f>MAX(ABS(-G171-MIN(G167*$G$11,MAX(0,F156+G162+G166)+MAX(0,F157+G163))),ABS(-H171-MIN(H167*$G$11,MAX(0,G156+H162+H166)+MAX(0,G157+H163))),ABS(-I171-MIN(I167*$G$11,MAX(0,H156+I162+I166)+MAX(0,H157+I163))),ABS(-J171-MIN(J167*$G$11,MAX(0,I156+J162+J166)+MAX(0,I157+J163))),ABS(-K171-MIN(K167*$G$11,MAX(0,J156+K162+K166)+MAX(0,J157+K163))),MIN(G166,-G171),MIN(H166,-H171),MIN(I166,-I171),MIN(J166,-J171),MIN(K166,-K171))</f>
        <v>0</v>
      </c>
      <c r="D211" s="154">
        <f>0</f>
        <v>0</v>
      </c>
      <c r="E211" s="154">
        <f t="shared" si="33"/>
        <v>0</v>
      </c>
      <c r="F211" s="154">
        <v>0.01</v>
      </c>
      <c r="G211" s="155" t="str">
        <f t="shared" si="34"/>
        <v>OK</v>
      </c>
      <c r="H211" s="210" t="s">
        <v>209</v>
      </c>
      <c r="I211" s="210"/>
      <c r="J211" s="210"/>
      <c r="K211" s="210"/>
    </row>
    <row r="212" spans="1:11" ht="30" customHeight="1" x14ac:dyDescent="0.15">
      <c r="B212" s="153" t="s">
        <v>210</v>
      </c>
      <c r="C212" s="154">
        <f>MAX(0,$G$17-MIN(G142:K142))</f>
        <v>0</v>
      </c>
      <c r="D212" s="154">
        <f>0</f>
        <v>0</v>
      </c>
      <c r="E212" s="154">
        <f t="shared" si="33"/>
        <v>0</v>
      </c>
      <c r="F212" s="154">
        <v>0.01</v>
      </c>
      <c r="G212" s="155" t="str">
        <f t="shared" si="34"/>
        <v>OK</v>
      </c>
      <c r="H212" s="210" t="s">
        <v>211</v>
      </c>
      <c r="I212" s="210"/>
      <c r="J212" s="210"/>
      <c r="K212" s="210"/>
    </row>
    <row r="213" spans="1:11" ht="30" customHeight="1" x14ac:dyDescent="0.15">
      <c r="B213" s="153" t="s">
        <v>32</v>
      </c>
      <c r="C213" s="154">
        <f>MAX(0,MAX(G156:K156)-$G$8)</f>
        <v>0</v>
      </c>
      <c r="D213" s="154">
        <f>0</f>
        <v>0</v>
      </c>
      <c r="E213" s="154">
        <f t="shared" si="33"/>
        <v>0</v>
      </c>
      <c r="F213" s="154">
        <v>0.01</v>
      </c>
      <c r="G213" s="155" t="str">
        <f t="shared" si="34"/>
        <v>OK</v>
      </c>
      <c r="H213" s="210" t="s">
        <v>212</v>
      </c>
      <c r="I213" s="210"/>
      <c r="J213" s="210"/>
      <c r="K213" s="210"/>
    </row>
    <row r="214" spans="1:11" ht="30" customHeight="1" x14ac:dyDescent="0.15">
      <c r="B214" s="153" t="s">
        <v>213</v>
      </c>
      <c r="C214" s="154">
        <f>MAX(0,-MIN(G156:K158))</f>
        <v>0</v>
      </c>
      <c r="D214" s="154">
        <f>0</f>
        <v>0</v>
      </c>
      <c r="E214" s="154">
        <f t="shared" si="33"/>
        <v>0</v>
      </c>
      <c r="F214" s="154">
        <v>0.01</v>
      </c>
      <c r="G214" s="155" t="str">
        <f t="shared" si="34"/>
        <v>OK</v>
      </c>
      <c r="H214" s="210" t="s">
        <v>214</v>
      </c>
      <c r="I214" s="210"/>
      <c r="J214" s="210"/>
      <c r="K214" s="210"/>
    </row>
    <row r="215" spans="1:11" ht="40" customHeight="1" x14ac:dyDescent="0.15">
      <c r="B215" s="153" t="s">
        <v>215</v>
      </c>
      <c r="C215" s="154">
        <f>IF(AND($G$11&gt;=0,$G$11&lt;=1,$G$16&gt;=0,$G$16&lt;=1,$K$11&gt;=1900,$K$11&lt;=2100,MOD($K$11,1)=0,$K$14&gt;=1,$K$14&lt;=12,MOD($K$14,1)=0,$K$15&gt;=1,$K$15&lt;=31,MOD($K$15,1)=0,$K$13=1),0,1)</f>
        <v>0</v>
      </c>
      <c r="D215" s="154">
        <f>0</f>
        <v>0</v>
      </c>
      <c r="E215" s="154">
        <f t="shared" si="33"/>
        <v>0</v>
      </c>
      <c r="F215" s="154">
        <v>0</v>
      </c>
      <c r="G215" s="155" t="str">
        <f t="shared" si="34"/>
        <v>OK</v>
      </c>
      <c r="H215" s="210" t="s">
        <v>216</v>
      </c>
      <c r="I215" s="210"/>
      <c r="J215" s="210"/>
      <c r="K215" s="210"/>
    </row>
    <row r="216" spans="1:11" ht="40" customHeight="1" x14ac:dyDescent="0.15">
      <c r="B216" s="153" t="s">
        <v>217</v>
      </c>
      <c r="C216" s="154">
        <f>MAX(ABS(G105-G177),ABS(H105-H177),ABS(I105-I177),ABS(J105-J177),ABS(K105-K177))</f>
        <v>0</v>
      </c>
      <c r="D216" s="154">
        <v>0</v>
      </c>
      <c r="E216" s="154">
        <f t="shared" si="33"/>
        <v>0</v>
      </c>
      <c r="F216" s="154">
        <v>9.9999999999999995E-7</v>
      </c>
      <c r="G216" s="155" t="str">
        <f t="shared" si="34"/>
        <v>OK</v>
      </c>
      <c r="H216" s="210" t="s">
        <v>218</v>
      </c>
      <c r="I216" s="210"/>
      <c r="J216" s="210"/>
      <c r="K216" s="210"/>
    </row>
    <row r="217" spans="1:11" ht="30" customHeight="1" x14ac:dyDescent="0.15">
      <c r="B217" s="156" t="s">
        <v>219</v>
      </c>
      <c r="C217" s="157"/>
      <c r="D217" s="157"/>
      <c r="E217" s="157"/>
      <c r="F217" s="157"/>
      <c r="G217" s="158" t="str">
        <f>IF(COUNTIF(G201:G216,"OK")+COUNTIF(G220:G226,"OK")=23,"PASS","ERROR")</f>
        <v>PASS</v>
      </c>
      <c r="H217" s="211" t="s">
        <v>220</v>
      </c>
      <c r="I217" s="211"/>
      <c r="J217" s="211"/>
      <c r="K217" s="211"/>
    </row>
    <row r="218" spans="1:11" ht="78" customHeight="1" x14ac:dyDescent="0.15">
      <c r="B218" s="159" t="s">
        <v>221</v>
      </c>
      <c r="C218" s="160"/>
      <c r="D218" s="160"/>
      <c r="E218" s="160"/>
      <c r="F218" s="160"/>
      <c r="G218" s="155" t="str">
        <f>"NEEDS INPUT"</f>
        <v>NEEDS INPUT</v>
      </c>
      <c r="H218" s="212" t="s">
        <v>222</v>
      </c>
      <c r="I218" s="212"/>
      <c r="J218" s="212"/>
      <c r="K218" s="212"/>
    </row>
    <row r="219" spans="1:11" ht="24" customHeight="1" x14ac:dyDescent="0.15">
      <c r="A219" s="150"/>
      <c r="B219" s="151" t="s">
        <v>223</v>
      </c>
      <c r="C219" s="161"/>
      <c r="D219" s="161"/>
      <c r="E219" s="161"/>
      <c r="F219" s="161"/>
      <c r="G219" s="162"/>
      <c r="H219" s="163"/>
      <c r="I219" s="163"/>
      <c r="J219" s="163"/>
      <c r="K219" s="163"/>
    </row>
    <row r="220" spans="1:11" ht="34" customHeight="1" x14ac:dyDescent="0.15">
      <c r="B220" s="153" t="s">
        <v>224</v>
      </c>
      <c r="C220" s="154">
        <f>IF(-10&gt;0,-(-10)*$G$16,0)</f>
        <v>0</v>
      </c>
      <c r="D220" s="154">
        <f>0</f>
        <v>0</v>
      </c>
      <c r="E220" s="154">
        <f t="shared" ref="E220:E226" si="35">C220-D220</f>
        <v>0</v>
      </c>
      <c r="F220" s="154">
        <v>0.01</v>
      </c>
      <c r="G220" s="155" t="str">
        <f t="shared" ref="G220:G226" si="36">IF(ABS(E220)&lt;=F220,"OK","ERROR")</f>
        <v>OK</v>
      </c>
      <c r="H220" s="210" t="s">
        <v>225</v>
      </c>
      <c r="I220" s="210"/>
      <c r="J220" s="210"/>
      <c r="K220" s="210"/>
    </row>
    <row r="221" spans="1:11" ht="34" customHeight="1" x14ac:dyDescent="0.15">
      <c r="B221" s="153" t="s">
        <v>226</v>
      </c>
      <c r="C221" s="154">
        <f>IF(10&gt;0,-10*$G$16,0)</f>
        <v>-2.5</v>
      </c>
      <c r="D221" s="154">
        <f>-10*$G$16</f>
        <v>-2.5</v>
      </c>
      <c r="E221" s="154">
        <f t="shared" si="35"/>
        <v>0</v>
      </c>
      <c r="F221" s="154">
        <v>0.01</v>
      </c>
      <c r="G221" s="155" t="str">
        <f t="shared" si="36"/>
        <v>OK</v>
      </c>
      <c r="H221" s="210" t="s">
        <v>227</v>
      </c>
      <c r="I221" s="210"/>
      <c r="J221" s="210"/>
      <c r="K221" s="210"/>
    </row>
    <row r="222" spans="1:11" ht="34" customHeight="1" x14ac:dyDescent="0.15">
      <c r="B222" s="153" t="s">
        <v>228</v>
      </c>
      <c r="C222" s="154">
        <f>MIN(20,40*50%)+MIN(480,MAX(0,40*50%-MIN(20,40*50%)))</f>
        <v>20</v>
      </c>
      <c r="D222" s="154">
        <f>20</f>
        <v>20</v>
      </c>
      <c r="E222" s="154">
        <f t="shared" si="35"/>
        <v>0</v>
      </c>
      <c r="F222" s="154">
        <v>0.01</v>
      </c>
      <c r="G222" s="155" t="str">
        <f t="shared" si="36"/>
        <v>OK</v>
      </c>
      <c r="H222" s="210" t="s">
        <v>229</v>
      </c>
      <c r="I222" s="210"/>
      <c r="J222" s="210"/>
      <c r="K222" s="210"/>
    </row>
    <row r="223" spans="1:11" ht="34" customHeight="1" x14ac:dyDescent="0.15">
      <c r="B223" s="153" t="s">
        <v>230</v>
      </c>
      <c r="C223" s="154">
        <f>MAX(0,5-MIN(5,4.8))</f>
        <v>0.20000000000000018</v>
      </c>
      <c r="D223" s="154">
        <f>0.2</f>
        <v>0.2</v>
      </c>
      <c r="E223" s="154">
        <f t="shared" si="35"/>
        <v>0</v>
      </c>
      <c r="F223" s="154">
        <v>0.01</v>
      </c>
      <c r="G223" s="155" t="str">
        <f t="shared" si="36"/>
        <v>OK</v>
      </c>
      <c r="H223" s="210" t="s">
        <v>231</v>
      </c>
      <c r="I223" s="210"/>
      <c r="J223" s="210"/>
      <c r="K223" s="210"/>
    </row>
    <row r="224" spans="1:11" ht="40" customHeight="1" x14ac:dyDescent="0.15">
      <c r="B224" s="153" t="s">
        <v>232</v>
      </c>
      <c r="C224" s="154">
        <f>MIN(MAX(0,10-(10-25)),300)</f>
        <v>25</v>
      </c>
      <c r="D224" s="154">
        <f>25</f>
        <v>25</v>
      </c>
      <c r="E224" s="154">
        <f t="shared" si="35"/>
        <v>0</v>
      </c>
      <c r="F224" s="154">
        <v>0.01</v>
      </c>
      <c r="G224" s="155" t="str">
        <f t="shared" si="36"/>
        <v>OK</v>
      </c>
      <c r="H224" s="210" t="s">
        <v>233</v>
      </c>
      <c r="I224" s="210"/>
      <c r="J224" s="210"/>
      <c r="K224" s="210"/>
    </row>
    <row r="225" spans="2:11" ht="34" customHeight="1" x14ac:dyDescent="0.15">
      <c r="B225" s="153" t="s">
        <v>234</v>
      </c>
      <c r="C225" s="154">
        <f>MAX(ABS(SUM(G192:K192)),ABS(SUM(G193:K193)-(IF(G2=$K$8,G188,0)+IF(H2=$K$8,H188,0)+IF(I2=$K$8,I188,0)+IF(J2=$K$8,J188,0)+IF(K2=$K$8,K188,0))))</f>
        <v>0</v>
      </c>
      <c r="D225" s="154">
        <f>0</f>
        <v>0</v>
      </c>
      <c r="E225" s="154">
        <f t="shared" si="35"/>
        <v>0</v>
      </c>
      <c r="F225" s="154">
        <v>0.01</v>
      </c>
      <c r="G225" s="155" t="str">
        <f t="shared" si="36"/>
        <v>OK</v>
      </c>
      <c r="H225" s="210" t="s">
        <v>235</v>
      </c>
      <c r="I225" s="210"/>
      <c r="J225" s="210"/>
      <c r="K225" s="210"/>
    </row>
    <row r="226" spans="2:11" ht="40" customHeight="1" x14ac:dyDescent="0.15">
      <c r="B226" s="153" t="s">
        <v>236</v>
      </c>
      <c r="C226" s="154">
        <f>IF(AND(G190&gt;F190,H190&gt;G190,I190&gt;H190,J190&gt;I190,K190&gt;J190,F194&lt;0,COUNTIF(G194:K194,"&gt;0")=1),0,1)</f>
        <v>0</v>
      </c>
      <c r="D226" s="154">
        <f>0</f>
        <v>0</v>
      </c>
      <c r="E226" s="154">
        <f t="shared" si="35"/>
        <v>0</v>
      </c>
      <c r="F226" s="154">
        <v>0</v>
      </c>
      <c r="G226" s="155" t="str">
        <f t="shared" si="36"/>
        <v>OK</v>
      </c>
      <c r="H226" s="210" t="s">
        <v>237</v>
      </c>
      <c r="I226" s="210"/>
      <c r="J226" s="210"/>
      <c r="K226" s="210"/>
    </row>
  </sheetData>
  <mergeCells count="50">
    <mergeCell ref="H222:K222"/>
    <mergeCell ref="H223:K223"/>
    <mergeCell ref="H224:K224"/>
    <mergeCell ref="H225:K225"/>
    <mergeCell ref="H226:K226"/>
    <mergeCell ref="H216:K216"/>
    <mergeCell ref="H217:K217"/>
    <mergeCell ref="H218:K218"/>
    <mergeCell ref="H220:K220"/>
    <mergeCell ref="H221:K221"/>
    <mergeCell ref="H211:K211"/>
    <mergeCell ref="H212:K212"/>
    <mergeCell ref="H213:K213"/>
    <mergeCell ref="H214:K214"/>
    <mergeCell ref="H215:K215"/>
    <mergeCell ref="H206:K206"/>
    <mergeCell ref="H207:K207"/>
    <mergeCell ref="H208:K208"/>
    <mergeCell ref="H209:K209"/>
    <mergeCell ref="H210:K210"/>
    <mergeCell ref="H201:K201"/>
    <mergeCell ref="H202:K202"/>
    <mergeCell ref="H203:K203"/>
    <mergeCell ref="H204:K204"/>
    <mergeCell ref="H205:K205"/>
    <mergeCell ref="B121:K121"/>
    <mergeCell ref="B136:K136"/>
    <mergeCell ref="B153:K153"/>
    <mergeCell ref="B179:K179"/>
    <mergeCell ref="H200:K200"/>
    <mergeCell ref="B42:K42"/>
    <mergeCell ref="B54:K54"/>
    <mergeCell ref="B68:K68"/>
    <mergeCell ref="B71:K71"/>
    <mergeCell ref="B86:K86"/>
    <mergeCell ref="E13:G13"/>
    <mergeCell ref="I14:J14"/>
    <mergeCell ref="I15:J15"/>
    <mergeCell ref="B22:K22"/>
    <mergeCell ref="B40:K40"/>
    <mergeCell ref="B7:C7"/>
    <mergeCell ref="E7:G7"/>
    <mergeCell ref="I7:K7"/>
    <mergeCell ref="I11:J11"/>
    <mergeCell ref="I12:K12"/>
    <mergeCell ref="A1:F1"/>
    <mergeCell ref="G1:H1"/>
    <mergeCell ref="I1:K1"/>
    <mergeCell ref="A2:B2"/>
    <mergeCell ref="B5:K5"/>
  </mergeCells>
  <conditionalFormatting sqref="G201:G211">
    <cfRule type="containsText" dxfId="19" priority="8" operator="containsText" text="OK">
      <formula>NOT(ISERROR(SEARCH("OK",G201)))</formula>
    </cfRule>
    <cfRule type="containsText" dxfId="18" priority="9" operator="containsText" text="PASS">
      <formula>NOT(ISERROR(SEARCH("PASS",G201)))</formula>
    </cfRule>
    <cfRule type="containsText" dxfId="17" priority="10" operator="containsText" text="ERROR">
      <formula>NOT(ISERROR(SEARCH("ERROR",G201)))</formula>
    </cfRule>
  </conditionalFormatting>
  <conditionalFormatting sqref="G201:G217">
    <cfRule type="containsText" dxfId="16" priority="15" operator="containsText" text="OK">
      <formula>NOT(ISERROR(SEARCH("OK",G201)))</formula>
    </cfRule>
    <cfRule type="containsText" dxfId="15" priority="16" operator="containsText" text="PASS">
      <formula>NOT(ISERROR(SEARCH("PASS",G201)))</formula>
    </cfRule>
    <cfRule type="containsText" dxfId="14" priority="17" operator="containsText" text="ERROR">
      <formula>NOT(ISERROR(SEARCH("ERROR",G201)))</formula>
    </cfRule>
  </conditionalFormatting>
  <conditionalFormatting sqref="G212">
    <cfRule type="containsText" dxfId="13" priority="14" operator="containsText" text="NEEDS INPUT">
      <formula>NOT(ISERROR(SEARCH("NEEDS INPUT",G212)))</formula>
    </cfRule>
  </conditionalFormatting>
  <conditionalFormatting sqref="G214:G217">
    <cfRule type="containsText" dxfId="12" priority="11" operator="containsText" text="OK">
      <formula>NOT(ISERROR(SEARCH("OK",G214)))</formula>
    </cfRule>
    <cfRule type="containsText" dxfId="11" priority="12" operator="containsText" text="PASS">
      <formula>NOT(ISERROR(SEARCH("PASS",G214)))</formula>
    </cfRule>
    <cfRule type="containsText" dxfId="10" priority="13" operator="containsText" text="ERROR">
      <formula>NOT(ISERROR(SEARCH("ERROR",G214)))</formula>
    </cfRule>
  </conditionalFormatting>
  <conditionalFormatting sqref="G218">
    <cfRule type="containsText" dxfId="9" priority="21" operator="containsText" text="NEEDS INPUT">
      <formula>NOT(ISERROR(SEARCH("NEEDS INPUT",G218)))</formula>
    </cfRule>
  </conditionalFormatting>
  <conditionalFormatting sqref="G220:G226">
    <cfRule type="containsText" dxfId="8" priority="18" operator="containsText" text="OK">
      <formula>NOT(ISERROR(SEARCH("OK",G220)))</formula>
    </cfRule>
    <cfRule type="containsText" dxfId="7" priority="19" operator="containsText" text="PASS">
      <formula>NOT(ISERROR(SEARCH("PASS",G220)))</formula>
    </cfRule>
    <cfRule type="containsText" dxfId="6" priority="20" operator="containsText" text="ERROR">
      <formula>NOT(ISERROR(SEARCH("ERROR",G220)))</formula>
    </cfRule>
  </conditionalFormatting>
  <conditionalFormatting sqref="I1:K1">
    <cfRule type="containsText" dxfId="5" priority="2" operator="containsText" text="OK">
      <formula>NOT(ISERROR(SEARCH("OK",I1)))</formula>
    </cfRule>
    <cfRule type="containsText" dxfId="4" priority="3" operator="containsText" text="PASS">
      <formula>NOT(ISERROR(SEARCH("PASS",I1)))</formula>
    </cfRule>
    <cfRule type="containsText" dxfId="3" priority="4" operator="containsText" text="ERROR">
      <formula>NOT(ISERROR(SEARCH("ERROR",I1)))</formula>
    </cfRule>
    <cfRule type="containsText" dxfId="2" priority="5" operator="containsText" text="OK">
      <formula>NOT(ISERROR(SEARCH("OK",I1)))</formula>
    </cfRule>
    <cfRule type="containsText" dxfId="1" priority="6" operator="containsText" text="PASS">
      <formula>NOT(ISERROR(SEARCH("PASS",I1)))</formula>
    </cfRule>
    <cfRule type="containsText" dxfId="0" priority="7" operator="containsText" text="ERROR">
      <formula>NOT(ISERROR(SEARCH("ERROR",I1)))</formula>
    </cfRule>
  </conditionalFormatting>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7"/>
  <sheetViews>
    <sheetView showGridLines="0" topLeftCell="C1" zoomScaleNormal="100" workbookViewId="0"/>
  </sheetViews>
  <sheetFormatPr baseColWidth="10" defaultColWidth="8.6640625" defaultRowHeight="13" x14ac:dyDescent="0.15"/>
  <cols>
    <col min="1" max="1" width="39" customWidth="1"/>
    <col min="2" max="2" width="50" customWidth="1"/>
    <col min="3" max="3" width="65" customWidth="1"/>
    <col min="4" max="10" width="15" customWidth="1"/>
  </cols>
  <sheetData>
    <row r="1" spans="1:10" ht="28" customHeight="1" x14ac:dyDescent="0.15">
      <c r="A1" s="164" t="s">
        <v>238</v>
      </c>
      <c r="B1" s="164"/>
      <c r="C1" s="164"/>
      <c r="D1" s="164"/>
      <c r="E1" s="164"/>
      <c r="F1" s="164"/>
      <c r="G1" s="164"/>
      <c r="H1" s="164"/>
      <c r="I1" s="164"/>
      <c r="J1" s="164"/>
    </row>
    <row r="2" spans="1:10" ht="25" customHeight="1" x14ac:dyDescent="0.15">
      <c r="A2" s="165" t="s">
        <v>239</v>
      </c>
      <c r="B2" s="165"/>
      <c r="C2" s="165"/>
      <c r="D2" s="165"/>
      <c r="E2" s="165"/>
      <c r="F2" s="165"/>
      <c r="G2" s="165"/>
      <c r="H2" s="165"/>
      <c r="I2" s="165"/>
      <c r="J2" s="165"/>
    </row>
    <row r="4" spans="1:10" ht="24" customHeight="1" x14ac:dyDescent="0.15">
      <c r="A4" s="166" t="s">
        <v>240</v>
      </c>
      <c r="B4" s="166" t="s">
        <v>241</v>
      </c>
      <c r="C4" s="166" t="s">
        <v>242</v>
      </c>
      <c r="D4" s="166" t="s">
        <v>243</v>
      </c>
      <c r="E4" s="166" t="s">
        <v>244</v>
      </c>
      <c r="F4" s="166" t="s">
        <v>245</v>
      </c>
      <c r="G4" s="166" t="s">
        <v>246</v>
      </c>
      <c r="H4" s="166" t="s">
        <v>247</v>
      </c>
      <c r="I4" s="166" t="s">
        <v>248</v>
      </c>
      <c r="J4" s="166" t="s">
        <v>249</v>
      </c>
    </row>
    <row r="5" spans="1:10" x14ac:dyDescent="0.15">
      <c r="A5" s="167" t="s">
        <v>108</v>
      </c>
      <c r="B5" s="168">
        <v>1598.1</v>
      </c>
      <c r="C5" s="168">
        <v>1577.3</v>
      </c>
      <c r="D5" s="168">
        <v>1716.2</v>
      </c>
      <c r="E5" s="168">
        <v>1939</v>
      </c>
      <c r="F5" s="168">
        <f>'LBO Model'!G89</f>
        <v>2055.34</v>
      </c>
      <c r="G5" s="168">
        <f>'LBO Model'!H89</f>
        <v>2178.6604000000002</v>
      </c>
      <c r="H5" s="168">
        <f>'LBO Model'!I89</f>
        <v>2309.3800240000005</v>
      </c>
      <c r="I5" s="168">
        <f>'LBO Model'!J89</f>
        <v>2447.9428254400004</v>
      </c>
      <c r="J5" s="168">
        <f>'LBO Model'!K89</f>
        <v>2594.8193949664005</v>
      </c>
    </row>
    <row r="6" spans="1:10" x14ac:dyDescent="0.15">
      <c r="A6" s="167" t="s">
        <v>250</v>
      </c>
      <c r="B6" s="168">
        <f>B8-B5</f>
        <v>1941.9</v>
      </c>
      <c r="C6" s="168">
        <f>C8-C5</f>
        <v>1916.7</v>
      </c>
      <c r="D6" s="168">
        <f>D8-D5</f>
        <v>2082</v>
      </c>
      <c r="E6" s="168">
        <v>2088.5</v>
      </c>
      <c r="F6" s="168">
        <f>'LBO Model'!G90</f>
        <v>2213.81</v>
      </c>
      <c r="G6" s="168">
        <f>'LBO Model'!H90</f>
        <v>2346.6386000000002</v>
      </c>
      <c r="H6" s="168">
        <f>'LBO Model'!I90</f>
        <v>2487.4369160000006</v>
      </c>
      <c r="I6" s="168">
        <f>'LBO Model'!J90</f>
        <v>2636.6831309600007</v>
      </c>
      <c r="J6" s="168">
        <f>'LBO Model'!K90</f>
        <v>2794.8841188176007</v>
      </c>
    </row>
    <row r="7" spans="1:10" x14ac:dyDescent="0.15">
      <c r="A7" s="167" t="s">
        <v>47</v>
      </c>
      <c r="B7" s="168">
        <v>0</v>
      </c>
      <c r="C7" s="168">
        <v>0</v>
      </c>
      <c r="D7" s="168">
        <v>0</v>
      </c>
      <c r="E7" s="168">
        <v>0</v>
      </c>
      <c r="F7" s="168">
        <v>0</v>
      </c>
      <c r="G7" s="168">
        <v>0</v>
      </c>
      <c r="H7" s="168">
        <v>0</v>
      </c>
      <c r="I7" s="168">
        <v>0</v>
      </c>
      <c r="J7" s="168">
        <v>0</v>
      </c>
    </row>
    <row r="8" spans="1:10" x14ac:dyDescent="0.15">
      <c r="A8" s="169" t="s">
        <v>251</v>
      </c>
      <c r="B8" s="170">
        <v>3540</v>
      </c>
      <c r="C8" s="170">
        <v>3494</v>
      </c>
      <c r="D8" s="170">
        <v>3798.2</v>
      </c>
      <c r="E8" s="170">
        <v>4027.5</v>
      </c>
      <c r="F8" s="170">
        <f>SUM(F5:F7)</f>
        <v>4269.1499999999996</v>
      </c>
      <c r="G8" s="170">
        <f>SUM(G5:G7)</f>
        <v>4525.2990000000009</v>
      </c>
      <c r="H8" s="170">
        <f>SUM(H5:H7)</f>
        <v>4796.8169400000006</v>
      </c>
      <c r="I8" s="170">
        <f>SUM(I5:I7)</f>
        <v>5084.6259564000011</v>
      </c>
      <c r="J8" s="170">
        <f>SUM(J5:J7)</f>
        <v>5389.7035137840012</v>
      </c>
    </row>
    <row r="9" spans="1:10" x14ac:dyDescent="0.15">
      <c r="A9" s="167" t="s">
        <v>252</v>
      </c>
      <c r="B9" s="171">
        <f>0</f>
        <v>0</v>
      </c>
      <c r="C9" s="171">
        <f t="shared" ref="C9:J9" si="0">C8/B8-1</f>
        <v>-1.2994350282485856E-2</v>
      </c>
      <c r="D9" s="171">
        <f t="shared" si="0"/>
        <v>8.7063537492844789E-2</v>
      </c>
      <c r="E9" s="171">
        <f t="shared" si="0"/>
        <v>6.0370701911431679E-2</v>
      </c>
      <c r="F9" s="171">
        <f t="shared" si="0"/>
        <v>5.9999999999999831E-2</v>
      </c>
      <c r="G9" s="171">
        <f t="shared" si="0"/>
        <v>6.0000000000000275E-2</v>
      </c>
      <c r="H9" s="171">
        <f t="shared" si="0"/>
        <v>5.9999999999999831E-2</v>
      </c>
      <c r="I9" s="171">
        <f t="shared" si="0"/>
        <v>6.0000000000000053E-2</v>
      </c>
      <c r="J9" s="171">
        <f t="shared" si="0"/>
        <v>6.0000000000000053E-2</v>
      </c>
    </row>
    <row r="11" spans="1:10" ht="28" x14ac:dyDescent="0.15">
      <c r="A11" s="172" t="s">
        <v>253</v>
      </c>
      <c r="B11" s="172" t="s">
        <v>254</v>
      </c>
      <c r="C11" s="172" t="s">
        <v>255</v>
      </c>
      <c r="D11" s="172" t="s">
        <v>256</v>
      </c>
    </row>
    <row r="12" spans="1:10" x14ac:dyDescent="0.15">
      <c r="A12" t="s">
        <v>108</v>
      </c>
      <c r="B12" s="173">
        <v>1716.2</v>
      </c>
      <c r="C12" s="174">
        <v>0.45184561107893201</v>
      </c>
      <c r="D12" s="174">
        <v>0.52500000000000002</v>
      </c>
    </row>
    <row r="13" spans="1:10" x14ac:dyDescent="0.15">
      <c r="A13" t="s">
        <v>250</v>
      </c>
      <c r="B13" s="173">
        <v>2082</v>
      </c>
      <c r="C13" s="174">
        <v>0.54815438892106805</v>
      </c>
      <c r="D13" s="174">
        <v>0.48599999999999999</v>
      </c>
    </row>
    <row r="14" spans="1:10" x14ac:dyDescent="0.15">
      <c r="A14" t="s">
        <v>257</v>
      </c>
      <c r="B14" s="173">
        <v>1912.5</v>
      </c>
      <c r="C14" s="174">
        <v>0.50352798694118295</v>
      </c>
      <c r="D14" s="174"/>
    </row>
    <row r="16" spans="1:10" x14ac:dyDescent="0.15">
      <c r="A16" s="175" t="s">
        <v>258</v>
      </c>
      <c r="B16" s="175"/>
      <c r="C16" s="175"/>
      <c r="D16" s="175"/>
      <c r="E16" s="175"/>
      <c r="F16" s="175"/>
      <c r="G16" s="175"/>
      <c r="H16" s="175"/>
      <c r="I16" s="175"/>
      <c r="J16" s="175"/>
    </row>
    <row r="17" spans="1:10" x14ac:dyDescent="0.15">
      <c r="A17" t="s">
        <v>259</v>
      </c>
      <c r="E17" s="174">
        <v>0.17249999999999999</v>
      </c>
      <c r="F17" s="174">
        <v>0.186</v>
      </c>
      <c r="G17" s="174">
        <v>0.20100000000000001</v>
      </c>
      <c r="H17" s="174">
        <v>0.20200000000000001</v>
      </c>
      <c r="I17" s="174">
        <v>0.20349999999999999</v>
      </c>
      <c r="J17" s="174">
        <v>0.20499999999999999</v>
      </c>
    </row>
    <row r="18" spans="1:10" x14ac:dyDescent="0.15">
      <c r="A18" t="s">
        <v>260</v>
      </c>
      <c r="E18" s="174"/>
      <c r="F18" s="174">
        <v>0.06</v>
      </c>
      <c r="G18" s="174">
        <v>0.06</v>
      </c>
      <c r="H18" s="174">
        <v>0.06</v>
      </c>
      <c r="I18" s="174">
        <v>0.06</v>
      </c>
      <c r="J18" s="174">
        <v>0.06</v>
      </c>
    </row>
    <row r="20" spans="1:10" x14ac:dyDescent="0.15">
      <c r="A20" s="175" t="s">
        <v>261</v>
      </c>
      <c r="B20" s="175"/>
      <c r="C20" s="175"/>
      <c r="D20" s="175"/>
      <c r="E20" s="175"/>
      <c r="F20" s="175"/>
      <c r="G20" s="175"/>
      <c r="H20" s="175"/>
      <c r="I20" s="175"/>
      <c r="J20" s="175"/>
    </row>
    <row r="21" spans="1:10" ht="34" customHeight="1" x14ac:dyDescent="0.15">
      <c r="A21" s="176" t="s">
        <v>262</v>
      </c>
      <c r="B21" s="176"/>
      <c r="C21" s="176"/>
      <c r="D21" s="176"/>
      <c r="E21" s="176"/>
      <c r="F21" s="176"/>
      <c r="G21" s="176"/>
      <c r="H21" s="176"/>
      <c r="I21" s="176"/>
      <c r="J21" s="176"/>
    </row>
    <row r="22" spans="1:10" ht="34" customHeight="1" x14ac:dyDescent="0.15">
      <c r="A22" s="176" t="s">
        <v>263</v>
      </c>
      <c r="B22" s="176"/>
      <c r="C22" s="176"/>
      <c r="D22" s="176"/>
      <c r="E22" s="176"/>
      <c r="F22" s="176"/>
      <c r="G22" s="176"/>
      <c r="H22" s="176"/>
      <c r="I22" s="176"/>
      <c r="J22" s="176"/>
    </row>
    <row r="23" spans="1:10" ht="34" customHeight="1" x14ac:dyDescent="0.15">
      <c r="A23" s="176" t="s">
        <v>264</v>
      </c>
      <c r="B23" s="176"/>
      <c r="C23" s="176"/>
      <c r="D23" s="176"/>
      <c r="E23" s="176"/>
      <c r="F23" s="176"/>
      <c r="G23" s="176"/>
      <c r="H23" s="176"/>
      <c r="I23" s="176"/>
      <c r="J23" s="176"/>
    </row>
    <row r="24" spans="1:10" ht="34" customHeight="1" x14ac:dyDescent="0.15">
      <c r="A24" s="176" t="s">
        <v>265</v>
      </c>
      <c r="B24" s="176"/>
      <c r="C24" s="176"/>
      <c r="D24" s="176"/>
      <c r="E24" s="176"/>
      <c r="F24" s="176"/>
      <c r="G24" s="176"/>
      <c r="H24" s="176"/>
      <c r="I24" s="176"/>
      <c r="J24" s="176"/>
    </row>
    <row r="25" spans="1:10" ht="34" customHeight="1" x14ac:dyDescent="0.15">
      <c r="A25" s="176" t="s">
        <v>266</v>
      </c>
      <c r="B25" s="176"/>
      <c r="C25" s="176"/>
      <c r="D25" s="176"/>
      <c r="E25" s="176"/>
      <c r="F25" s="176"/>
      <c r="G25" s="176"/>
      <c r="H25" s="176"/>
      <c r="I25" s="176"/>
      <c r="J25" s="176"/>
    </row>
    <row r="26" spans="1:10" ht="34" customHeight="1" x14ac:dyDescent="0.15">
      <c r="A26" s="176" t="s">
        <v>267</v>
      </c>
      <c r="B26" s="176"/>
      <c r="C26" s="176"/>
      <c r="D26" s="176"/>
      <c r="E26" s="176"/>
      <c r="F26" s="176"/>
      <c r="G26" s="176"/>
      <c r="H26" s="176"/>
      <c r="I26" s="176"/>
      <c r="J26" s="176"/>
    </row>
    <row r="27" spans="1:10" ht="34" customHeight="1" x14ac:dyDescent="0.15">
      <c r="A27" s="176" t="s">
        <v>268</v>
      </c>
      <c r="B27" s="176"/>
      <c r="C27" s="176"/>
      <c r="D27" s="176"/>
      <c r="E27" s="176"/>
      <c r="F27" s="176"/>
      <c r="G27" s="176"/>
      <c r="H27" s="176"/>
      <c r="I27" s="176"/>
      <c r="J27" s="176"/>
    </row>
    <row r="29" spans="1:10" x14ac:dyDescent="0.15">
      <c r="A29" s="175" t="s">
        <v>269</v>
      </c>
      <c r="B29" s="175" t="s">
        <v>270</v>
      </c>
      <c r="C29" s="175" t="s">
        <v>271</v>
      </c>
    </row>
    <row r="30" spans="1:10" ht="38" customHeight="1" x14ac:dyDescent="0.15">
      <c r="A30" s="177" t="s">
        <v>272</v>
      </c>
      <c r="B30" s="177" t="s">
        <v>273</v>
      </c>
      <c r="C30" s="177" t="s">
        <v>274</v>
      </c>
    </row>
    <row r="31" spans="1:10" ht="38" customHeight="1" x14ac:dyDescent="0.15">
      <c r="A31" s="177" t="s">
        <v>275</v>
      </c>
      <c r="B31" s="177" t="s">
        <v>276</v>
      </c>
      <c r="C31" s="177" t="s">
        <v>277</v>
      </c>
    </row>
    <row r="32" spans="1:10" ht="38" customHeight="1" x14ac:dyDescent="0.15">
      <c r="A32" s="177" t="s">
        <v>278</v>
      </c>
      <c r="B32" s="177" t="s">
        <v>279</v>
      </c>
      <c r="C32" s="177" t="s">
        <v>280</v>
      </c>
    </row>
    <row r="33" spans="1:3" ht="38" customHeight="1" x14ac:dyDescent="0.15">
      <c r="A33" s="177" t="s">
        <v>281</v>
      </c>
      <c r="B33" s="177" t="s">
        <v>282</v>
      </c>
      <c r="C33" s="177" t="s">
        <v>283</v>
      </c>
    </row>
    <row r="34" spans="1:3" ht="38" customHeight="1" x14ac:dyDescent="0.15">
      <c r="A34" s="177" t="s">
        <v>284</v>
      </c>
      <c r="B34" s="177" t="s">
        <v>285</v>
      </c>
      <c r="C34" s="177" t="s">
        <v>286</v>
      </c>
    </row>
    <row r="35" spans="1:3" ht="38" customHeight="1" x14ac:dyDescent="0.15">
      <c r="A35" s="177" t="s">
        <v>287</v>
      </c>
      <c r="B35" s="177" t="s">
        <v>288</v>
      </c>
      <c r="C35" s="177" t="s">
        <v>289</v>
      </c>
    </row>
    <row r="36" spans="1:3" ht="38" customHeight="1" x14ac:dyDescent="0.15">
      <c r="A36" s="177" t="s">
        <v>290</v>
      </c>
      <c r="B36" s="177" t="s">
        <v>291</v>
      </c>
      <c r="C36" s="177" t="s">
        <v>292</v>
      </c>
    </row>
    <row r="37" spans="1:3" ht="38" customHeight="1" x14ac:dyDescent="0.15">
      <c r="A37" s="177" t="s">
        <v>293</v>
      </c>
      <c r="B37" s="177" t="s">
        <v>294</v>
      </c>
      <c r="C37" s="177" t="s">
        <v>295</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2"/>
  <sheetViews>
    <sheetView showGridLines="0" zoomScaleNormal="100" workbookViewId="0"/>
  </sheetViews>
  <sheetFormatPr baseColWidth="10" defaultColWidth="8.6640625" defaultRowHeight="13" x14ac:dyDescent="0.15"/>
  <cols>
    <col min="1" max="1" width="41" customWidth="1"/>
    <col min="2" max="3" width="16" customWidth="1"/>
    <col min="4" max="4" width="38" customWidth="1"/>
    <col min="5" max="7" width="15" customWidth="1"/>
    <col min="8" max="10" width="17" customWidth="1"/>
  </cols>
  <sheetData>
    <row r="1" spans="1:10" ht="28" customHeight="1" x14ac:dyDescent="0.15">
      <c r="A1" s="164" t="s">
        <v>296</v>
      </c>
      <c r="B1" s="164"/>
      <c r="C1" s="164"/>
      <c r="D1" s="164"/>
      <c r="E1" s="164"/>
      <c r="F1" s="164"/>
      <c r="G1" s="164"/>
      <c r="H1" s="164"/>
      <c r="I1" s="164"/>
      <c r="J1" s="164"/>
    </row>
    <row r="2" spans="1:10" ht="38" customHeight="1" x14ac:dyDescent="0.15">
      <c r="A2" s="165" t="s">
        <v>297</v>
      </c>
      <c r="B2" s="165"/>
      <c r="C2" s="165"/>
      <c r="D2" s="165"/>
      <c r="E2" s="165"/>
      <c r="F2" s="165"/>
      <c r="G2" s="165"/>
      <c r="H2" s="165"/>
      <c r="I2" s="165"/>
      <c r="J2" s="165"/>
    </row>
    <row r="4" spans="1:10" ht="32" customHeight="1" x14ac:dyDescent="0.15">
      <c r="A4" s="172" t="s">
        <v>298</v>
      </c>
      <c r="B4" s="172" t="s">
        <v>299</v>
      </c>
      <c r="C4" s="172" t="s">
        <v>300</v>
      </c>
      <c r="D4" s="172" t="s">
        <v>301</v>
      </c>
      <c r="E4" s="172" t="s">
        <v>302</v>
      </c>
    </row>
    <row r="5" spans="1:10" ht="28" x14ac:dyDescent="0.15">
      <c r="A5" s="178" t="s">
        <v>303</v>
      </c>
      <c r="B5" s="179">
        <v>0.158</v>
      </c>
      <c r="C5" s="179">
        <v>0.158</v>
      </c>
      <c r="D5" s="178" t="s">
        <v>304</v>
      </c>
      <c r="E5" s="178" t="s">
        <v>305</v>
      </c>
    </row>
    <row r="6" spans="1:10" ht="28" x14ac:dyDescent="0.15">
      <c r="A6" s="178" t="s">
        <v>306</v>
      </c>
      <c r="B6" s="179">
        <v>5.0000000000000001E-3</v>
      </c>
      <c r="C6" s="179">
        <v>7.4999999999999997E-3</v>
      </c>
      <c r="D6" s="178" t="s">
        <v>307</v>
      </c>
      <c r="E6" s="178" t="s">
        <v>308</v>
      </c>
    </row>
    <row r="7" spans="1:10" ht="28" x14ac:dyDescent="0.15">
      <c r="A7" s="178" t="s">
        <v>309</v>
      </c>
      <c r="B7" s="179">
        <v>2.2499999999999999E-2</v>
      </c>
      <c r="C7" s="179">
        <v>2.5000000000000001E-2</v>
      </c>
      <c r="D7" s="178" t="s">
        <v>307</v>
      </c>
      <c r="E7" s="178" t="s">
        <v>308</v>
      </c>
    </row>
    <row r="8" spans="1:10" ht="28" x14ac:dyDescent="0.15">
      <c r="A8" s="178" t="s">
        <v>310</v>
      </c>
      <c r="B8" s="179">
        <v>1.0999999999999999E-2</v>
      </c>
      <c r="C8" s="179">
        <v>1.2999999999999999E-2</v>
      </c>
      <c r="D8" s="178" t="s">
        <v>307</v>
      </c>
      <c r="E8" s="178" t="s">
        <v>308</v>
      </c>
    </row>
    <row r="9" spans="1:10" ht="56" x14ac:dyDescent="0.15">
      <c r="A9" s="178" t="s">
        <v>311</v>
      </c>
      <c r="B9" s="179">
        <f>SUM(B5:B8)</f>
        <v>0.19650000000000001</v>
      </c>
      <c r="C9" s="179">
        <f>SUM(C5:C8)</f>
        <v>0.20350000000000001</v>
      </c>
      <c r="D9" s="178" t="s">
        <v>304</v>
      </c>
      <c r="E9" s="178" t="s">
        <v>312</v>
      </c>
    </row>
    <row r="10" spans="1:10" ht="28" x14ac:dyDescent="0.15">
      <c r="A10" s="178" t="s">
        <v>313</v>
      </c>
      <c r="B10" s="179">
        <v>0.2</v>
      </c>
      <c r="C10" s="179">
        <v>0.2</v>
      </c>
      <c r="D10" s="178" t="s">
        <v>304</v>
      </c>
      <c r="E10" s="178" t="s">
        <v>314</v>
      </c>
    </row>
    <row r="12" spans="1:10" ht="34" customHeight="1" x14ac:dyDescent="0.15">
      <c r="A12" s="172" t="s">
        <v>315</v>
      </c>
      <c r="B12" s="172" t="s">
        <v>316</v>
      </c>
      <c r="C12" s="172" t="s">
        <v>317</v>
      </c>
      <c r="D12" s="172" t="s">
        <v>318</v>
      </c>
      <c r="E12" s="172" t="s">
        <v>319</v>
      </c>
      <c r="F12" s="172" t="s">
        <v>320</v>
      </c>
      <c r="G12" s="172" t="s">
        <v>321</v>
      </c>
    </row>
    <row r="13" spans="1:10" x14ac:dyDescent="0.15">
      <c r="A13" s="180" t="s">
        <v>322</v>
      </c>
      <c r="B13" s="173">
        <v>24</v>
      </c>
      <c r="C13" s="173">
        <v>24</v>
      </c>
      <c r="D13" s="173">
        <v>19</v>
      </c>
      <c r="E13" s="173">
        <v>19</v>
      </c>
      <c r="F13" s="173">
        <f t="shared" ref="F13:G16" si="0">B13+D13</f>
        <v>43</v>
      </c>
      <c r="G13" s="173">
        <f t="shared" si="0"/>
        <v>43</v>
      </c>
    </row>
    <row r="14" spans="1:10" x14ac:dyDescent="0.15">
      <c r="A14" s="180" t="s">
        <v>323</v>
      </c>
      <c r="B14" s="173">
        <v>20</v>
      </c>
      <c r="C14" s="173">
        <v>20</v>
      </c>
      <c r="D14" s="173">
        <v>40</v>
      </c>
      <c r="E14" s="173">
        <v>40</v>
      </c>
      <c r="F14" s="173">
        <f t="shared" si="0"/>
        <v>60</v>
      </c>
      <c r="G14" s="173">
        <f t="shared" si="0"/>
        <v>60</v>
      </c>
    </row>
    <row r="15" spans="1:10" x14ac:dyDescent="0.15">
      <c r="A15" s="180" t="s">
        <v>324</v>
      </c>
      <c r="B15" s="173">
        <v>10</v>
      </c>
      <c r="C15" s="173">
        <v>15</v>
      </c>
      <c r="D15" s="173">
        <v>20</v>
      </c>
      <c r="E15" s="173">
        <v>25</v>
      </c>
      <c r="F15" s="173">
        <f t="shared" si="0"/>
        <v>30</v>
      </c>
      <c r="G15" s="173">
        <f t="shared" si="0"/>
        <v>40</v>
      </c>
    </row>
    <row r="16" spans="1:10" x14ac:dyDescent="0.15">
      <c r="A16" s="180" t="s">
        <v>325</v>
      </c>
      <c r="B16" s="173">
        <v>5</v>
      </c>
      <c r="C16" s="173">
        <v>5</v>
      </c>
      <c r="D16" s="173">
        <v>5</v>
      </c>
      <c r="E16" s="173">
        <v>10</v>
      </c>
      <c r="F16" s="173">
        <f t="shared" si="0"/>
        <v>10</v>
      </c>
      <c r="G16" s="173">
        <f t="shared" si="0"/>
        <v>15</v>
      </c>
    </row>
    <row r="17" spans="1:10" x14ac:dyDescent="0.15">
      <c r="A17" s="180" t="s">
        <v>326</v>
      </c>
      <c r="B17" s="173">
        <f t="shared" ref="B17:G17" si="1">SUM(B13:B16)</f>
        <v>59</v>
      </c>
      <c r="C17" s="173">
        <f t="shared" si="1"/>
        <v>64</v>
      </c>
      <c r="D17" s="173">
        <f t="shared" si="1"/>
        <v>84</v>
      </c>
      <c r="E17" s="173">
        <f t="shared" si="1"/>
        <v>94</v>
      </c>
      <c r="F17" s="173">
        <f t="shared" si="1"/>
        <v>143</v>
      </c>
      <c r="G17" s="173">
        <f t="shared" si="1"/>
        <v>158</v>
      </c>
    </row>
    <row r="19" spans="1:10" ht="30" customHeight="1" x14ac:dyDescent="0.15">
      <c r="A19" s="172" t="s">
        <v>327</v>
      </c>
      <c r="B19" s="172" t="s">
        <v>328</v>
      </c>
      <c r="C19" s="172" t="s">
        <v>329</v>
      </c>
      <c r="D19" s="172" t="s">
        <v>330</v>
      </c>
    </row>
    <row r="20" spans="1:10" ht="28" x14ac:dyDescent="0.15">
      <c r="A20" s="178" t="s">
        <v>331</v>
      </c>
      <c r="B20" s="181">
        <v>85</v>
      </c>
      <c r="C20" s="178" t="s">
        <v>332</v>
      </c>
      <c r="D20" s="178" t="s">
        <v>333</v>
      </c>
    </row>
    <row r="21" spans="1:10" ht="28" x14ac:dyDescent="0.15">
      <c r="A21" s="178" t="s">
        <v>334</v>
      </c>
      <c r="B21" s="181">
        <v>150</v>
      </c>
      <c r="C21" s="178" t="s">
        <v>335</v>
      </c>
      <c r="D21" s="178" t="s">
        <v>336</v>
      </c>
    </row>
    <row r="22" spans="1:10" ht="50" customHeight="1" x14ac:dyDescent="0.15">
      <c r="A22" s="213" t="s">
        <v>337</v>
      </c>
      <c r="B22" s="213"/>
      <c r="C22" s="213"/>
      <c r="D22" s="213"/>
      <c r="E22" s="213"/>
      <c r="F22" s="213"/>
      <c r="G22" s="213"/>
      <c r="H22" s="213"/>
      <c r="I22" s="213"/>
      <c r="J22" s="213"/>
    </row>
    <row r="24" spans="1:10" ht="38" customHeight="1" x14ac:dyDescent="0.15">
      <c r="A24" s="172" t="s">
        <v>338</v>
      </c>
      <c r="B24" s="172"/>
      <c r="C24" s="172"/>
      <c r="D24" s="172"/>
      <c r="E24" s="172"/>
      <c r="F24" s="172"/>
      <c r="G24" s="172"/>
      <c r="H24" s="172"/>
      <c r="I24" s="172"/>
      <c r="J24" s="172"/>
    </row>
    <row r="25" spans="1:10" ht="36" customHeight="1" x14ac:dyDescent="0.15">
      <c r="A25" s="178" t="s">
        <v>339</v>
      </c>
      <c r="B25" s="178" t="s">
        <v>340</v>
      </c>
      <c r="C25" s="178" t="s">
        <v>341</v>
      </c>
      <c r="D25" s="178" t="s">
        <v>342</v>
      </c>
    </row>
    <row r="26" spans="1:10" ht="45" customHeight="1" x14ac:dyDescent="0.15">
      <c r="A26" s="178" t="s">
        <v>343</v>
      </c>
      <c r="B26" s="182">
        <v>0.05</v>
      </c>
      <c r="C26" s="182">
        <v>0.06</v>
      </c>
      <c r="D26" s="178" t="s">
        <v>344</v>
      </c>
    </row>
    <row r="27" spans="1:10" ht="42" customHeight="1" x14ac:dyDescent="0.15">
      <c r="A27" s="178" t="s">
        <v>345</v>
      </c>
      <c r="B27" s="182">
        <v>0</v>
      </c>
      <c r="C27" s="182">
        <v>5.0000000000000001E-3</v>
      </c>
      <c r="D27" s="178" t="s">
        <v>346</v>
      </c>
    </row>
    <row r="28" spans="1:10" ht="36" customHeight="1" x14ac:dyDescent="0.15">
      <c r="A28" s="178" t="s">
        <v>347</v>
      </c>
      <c r="B28" s="178"/>
      <c r="C28" s="183">
        <v>0.7</v>
      </c>
      <c r="D28" s="178" t="s">
        <v>348</v>
      </c>
    </row>
    <row r="30" spans="1:10" ht="42" customHeight="1" x14ac:dyDescent="0.15">
      <c r="A30" s="172" t="s">
        <v>349</v>
      </c>
      <c r="B30" s="172" t="s">
        <v>350</v>
      </c>
      <c r="C30" s="172" t="s">
        <v>351</v>
      </c>
      <c r="D30" s="172" t="s">
        <v>352</v>
      </c>
      <c r="E30" s="172" t="s">
        <v>353</v>
      </c>
      <c r="F30" s="172" t="s">
        <v>354</v>
      </c>
      <c r="G30" s="172" t="s">
        <v>355</v>
      </c>
      <c r="H30" s="172" t="s">
        <v>356</v>
      </c>
      <c r="I30" s="172" t="s">
        <v>357</v>
      </c>
      <c r="J30" s="172" t="s">
        <v>358</v>
      </c>
    </row>
    <row r="31" spans="1:10" x14ac:dyDescent="0.15">
      <c r="A31" s="180">
        <v>2027</v>
      </c>
      <c r="B31" s="173">
        <f>'LBO Model'!G92</f>
        <v>4269.1499999999996</v>
      </c>
      <c r="C31" s="174">
        <f>$C$26</f>
        <v>0.06</v>
      </c>
      <c r="D31" s="173">
        <f>'Revenue Build'!E8*(1+C31)</f>
        <v>4269.1500000000005</v>
      </c>
      <c r="E31" s="174">
        <f>'5% Downside - LBO Model'!G119</f>
        <v>0.18600000000000003</v>
      </c>
      <c r="F31" s="174">
        <v>0</v>
      </c>
      <c r="G31" s="173">
        <f>D31*(E31+F31)</f>
        <v>794.06190000000026</v>
      </c>
      <c r="H31" s="173">
        <f>G31-'5% Downside - LBO Model'!G118</f>
        <v>7.4911500000001752</v>
      </c>
      <c r="I31" s="173">
        <f>MAX(0,H31*$C$28)</f>
        <v>5.2438050000001226</v>
      </c>
      <c r="J31" s="173">
        <f>'LBO Model'!G157</f>
        <v>2547.8723193646961</v>
      </c>
    </row>
    <row r="32" spans="1:10" x14ac:dyDescent="0.15">
      <c r="A32" s="180">
        <v>2028</v>
      </c>
      <c r="B32" s="173">
        <f>'LBO Model'!H92</f>
        <v>4525.2990000000009</v>
      </c>
      <c r="C32" s="174">
        <f>$C$26</f>
        <v>0.06</v>
      </c>
      <c r="D32" s="173">
        <f>D31*(1+C32)</f>
        <v>4525.2990000000009</v>
      </c>
      <c r="E32" s="174">
        <f>'5% Downside - LBO Model'!H119</f>
        <v>0.20000000000000004</v>
      </c>
      <c r="F32" s="174">
        <v>1E-3</v>
      </c>
      <c r="G32" s="173">
        <f>D32*(E32+F32)</f>
        <v>909.58509900000035</v>
      </c>
      <c r="H32" s="173">
        <f>G32-'5% Downside - LBO Model'!H118</f>
        <v>21.5213490000001</v>
      </c>
      <c r="I32" s="173">
        <f>MAX(0,H32*$C$28)</f>
        <v>15.06494430000007</v>
      </c>
      <c r="J32" s="173">
        <f>'LBO Model'!H157</f>
        <v>2043.0155017532629</v>
      </c>
    </row>
    <row r="33" spans="1:10" x14ac:dyDescent="0.15">
      <c r="A33" s="180">
        <v>2029</v>
      </c>
      <c r="B33" s="173">
        <f>'LBO Model'!I92</f>
        <v>4796.8169400000006</v>
      </c>
      <c r="C33" s="174">
        <f>$C$26</f>
        <v>0.06</v>
      </c>
      <c r="D33" s="173">
        <f>D32*(1+C33)</f>
        <v>4796.8169400000015</v>
      </c>
      <c r="E33" s="174">
        <f>'5% Downside - LBO Model'!I119</f>
        <v>0.2</v>
      </c>
      <c r="F33" s="174">
        <v>2E-3</v>
      </c>
      <c r="G33" s="173">
        <f>D33*(E33+F33)</f>
        <v>968.95702188000041</v>
      </c>
      <c r="H33" s="173">
        <f>G33-'5% Downside - LBO Model'!I118</f>
        <v>36.490084380000212</v>
      </c>
      <c r="I33" s="173">
        <f>MAX(0,H33*$C$28)</f>
        <v>25.543059066000147</v>
      </c>
      <c r="J33" s="173">
        <f>'LBO Model'!I157</f>
        <v>1466.7342500858708</v>
      </c>
    </row>
    <row r="34" spans="1:10" x14ac:dyDescent="0.15">
      <c r="A34" s="180">
        <v>2030</v>
      </c>
      <c r="B34" s="173">
        <f>'LBO Model'!J92</f>
        <v>5084.6259564000011</v>
      </c>
      <c r="C34" s="174">
        <f>$C$26</f>
        <v>0.06</v>
      </c>
      <c r="D34" s="173">
        <f>D33*(1+C34)</f>
        <v>5084.625956400002</v>
      </c>
      <c r="E34" s="174">
        <f>'5% Downside - LBO Model'!J119</f>
        <v>0.2</v>
      </c>
      <c r="F34" s="174">
        <v>3.5000000000000001E-3</v>
      </c>
      <c r="G34" s="173">
        <f>D34*(E34+F34)</f>
        <v>1034.7213821274004</v>
      </c>
      <c r="H34" s="173">
        <f>G34-'5% Downside - LBO Model'!J118</f>
        <v>55.631097752400137</v>
      </c>
      <c r="I34" s="173">
        <f>MAX(0,H34*$C$28)</f>
        <v>38.941768426680092</v>
      </c>
      <c r="J34" s="173">
        <f>'LBO Model'!J157</f>
        <v>810.56482045526934</v>
      </c>
    </row>
    <row r="35" spans="1:10" x14ac:dyDescent="0.15">
      <c r="A35" s="180">
        <v>2031</v>
      </c>
      <c r="B35" s="173">
        <f>'LBO Model'!K92</f>
        <v>5389.7035137840012</v>
      </c>
      <c r="C35" s="174">
        <f>$C$26</f>
        <v>0.06</v>
      </c>
      <c r="D35" s="173">
        <f>D34*(1+C35)</f>
        <v>5389.7035137840021</v>
      </c>
      <c r="E35" s="174">
        <f>'5% Downside - LBO Model'!K119</f>
        <v>0.2</v>
      </c>
      <c r="F35" s="174">
        <v>5.0000000000000001E-3</v>
      </c>
      <c r="G35" s="173">
        <f>D35*(E35+F35)</f>
        <v>1104.8892203257205</v>
      </c>
      <c r="H35" s="173">
        <f>G35-'5% Downside - LBO Model'!K118</f>
        <v>76.844421731970215</v>
      </c>
      <c r="I35" s="173">
        <f>MAX(0,H35*$C$28)</f>
        <v>53.791095212379147</v>
      </c>
      <c r="J35" s="173">
        <f>'LBO Model'!K157</f>
        <v>67.54060888640447</v>
      </c>
    </row>
    <row r="37" spans="1:10" ht="30" customHeight="1" x14ac:dyDescent="0.15">
      <c r="A37" s="172" t="s">
        <v>359</v>
      </c>
      <c r="B37" s="172" t="s">
        <v>340</v>
      </c>
      <c r="C37" s="172" t="s">
        <v>341</v>
      </c>
      <c r="D37" s="172" t="s">
        <v>187</v>
      </c>
    </row>
    <row r="38" spans="1:10" ht="30" customHeight="1" x14ac:dyDescent="0.15">
      <c r="A38" s="178" t="s">
        <v>360</v>
      </c>
      <c r="B38" s="181">
        <f>'5% Downside - LBO Model'!K92</f>
        <v>5140.2239929687512</v>
      </c>
      <c r="C38" s="181">
        <f>'LBO Model'!K92</f>
        <v>5389.7035137840012</v>
      </c>
      <c r="D38" s="178" t="s">
        <v>361</v>
      </c>
    </row>
    <row r="39" spans="1:10" ht="30" customHeight="1" x14ac:dyDescent="0.15">
      <c r="A39" s="178" t="s">
        <v>362</v>
      </c>
      <c r="B39" s="181">
        <f>'5% Downside - LBO Model'!K118</f>
        <v>1028.0447985937503</v>
      </c>
      <c r="C39" s="181">
        <f>'LBO Model'!K118</f>
        <v>1104.8892203257201</v>
      </c>
      <c r="D39" s="178" t="s">
        <v>363</v>
      </c>
    </row>
    <row r="40" spans="1:10" ht="26" customHeight="1" x14ac:dyDescent="0.15">
      <c r="A40" s="178" t="s">
        <v>364</v>
      </c>
      <c r="B40" s="181">
        <f>'5% Downside - LBO Model'!K184</f>
        <v>13315.109427126397</v>
      </c>
      <c r="C40" s="181">
        <f>'LBO Model'!K184</f>
        <v>14310.388899018128</v>
      </c>
      <c r="D40" s="178" t="s">
        <v>365</v>
      </c>
    </row>
    <row r="41" spans="1:10" ht="36" customHeight="1" x14ac:dyDescent="0.15">
      <c r="A41" s="178" t="s">
        <v>366</v>
      </c>
      <c r="B41" s="181">
        <f>-'5% Downside - LBO Model'!K185</f>
        <v>1019.8321959098611</v>
      </c>
      <c r="C41" s="181">
        <f>-'LBO Model'!K185</f>
        <v>422.54060888640447</v>
      </c>
      <c r="D41" s="178" t="s">
        <v>367</v>
      </c>
    </row>
    <row r="42" spans="1:10" ht="30" customHeight="1" x14ac:dyDescent="0.15">
      <c r="A42" s="178" t="s">
        <v>368</v>
      </c>
      <c r="B42" s="181">
        <f>'5% Downside - LBO Model'!K188</f>
        <v>11945.823948402744</v>
      </c>
      <c r="C42" s="181">
        <f>'LBO Model'!K188</f>
        <v>13508.536623161181</v>
      </c>
      <c r="D42" s="178" t="s">
        <v>369</v>
      </c>
    </row>
    <row r="43" spans="1:10" ht="26" customHeight="1" x14ac:dyDescent="0.15">
      <c r="A43" s="184" t="s">
        <v>370</v>
      </c>
      <c r="B43" s="185">
        <f>'5% Downside - LBO Model'!C196</f>
        <v>2.2144088565268674</v>
      </c>
      <c r="C43" s="185">
        <f>'LBO Model'!C196</f>
        <v>2.5040904056722963</v>
      </c>
      <c r="D43" s="178" t="s">
        <v>371</v>
      </c>
    </row>
    <row r="44" spans="1:10" ht="30" customHeight="1" x14ac:dyDescent="0.15">
      <c r="A44" s="184" t="s">
        <v>372</v>
      </c>
      <c r="B44" s="186">
        <f>'5% Downside - LBO Model'!C197</f>
        <v>0.17233454361001943</v>
      </c>
      <c r="C44" s="186">
        <f>'LBO Model'!C197</f>
        <v>0.20151722389410032</v>
      </c>
      <c r="D44" s="178" t="s">
        <v>373</v>
      </c>
    </row>
    <row r="46" spans="1:10" ht="50" customHeight="1" x14ac:dyDescent="0.15">
      <c r="A46" s="213" t="s">
        <v>374</v>
      </c>
      <c r="B46" s="213"/>
      <c r="C46" s="213"/>
      <c r="D46" s="213"/>
      <c r="E46" s="213"/>
      <c r="F46" s="213"/>
      <c r="G46" s="213"/>
      <c r="H46" s="213"/>
      <c r="I46" s="213"/>
      <c r="J46" s="213"/>
    </row>
    <row r="48" spans="1:10" ht="14" x14ac:dyDescent="0.15">
      <c r="A48" s="172" t="s">
        <v>375</v>
      </c>
      <c r="B48" s="172" t="s">
        <v>376</v>
      </c>
      <c r="C48" s="172" t="s">
        <v>271</v>
      </c>
    </row>
    <row r="49" spans="1:10" ht="48" customHeight="1" x14ac:dyDescent="0.15">
      <c r="A49" s="187" t="s">
        <v>281</v>
      </c>
      <c r="B49" s="187" t="s">
        <v>377</v>
      </c>
      <c r="C49" s="187" t="s">
        <v>283</v>
      </c>
    </row>
    <row r="50" spans="1:10" ht="48" customHeight="1" x14ac:dyDescent="0.15">
      <c r="A50" s="187" t="s">
        <v>378</v>
      </c>
      <c r="B50" s="187" t="s">
        <v>379</v>
      </c>
      <c r="C50" s="187" t="s">
        <v>380</v>
      </c>
    </row>
    <row r="52" spans="1:10" ht="25" customHeight="1" x14ac:dyDescent="0.15">
      <c r="A52" s="172" t="s">
        <v>381</v>
      </c>
      <c r="B52" s="172"/>
      <c r="C52" s="172"/>
      <c r="D52" s="172"/>
      <c r="E52" s="172"/>
      <c r="F52" s="172"/>
      <c r="G52" s="172"/>
      <c r="H52" s="172"/>
      <c r="I52" s="172"/>
      <c r="J52" s="172"/>
    </row>
    <row r="53" spans="1:10" ht="36" customHeight="1" x14ac:dyDescent="0.15">
      <c r="A53" s="178" t="s">
        <v>339</v>
      </c>
      <c r="B53" s="178" t="s">
        <v>382</v>
      </c>
      <c r="C53" s="178" t="s">
        <v>383</v>
      </c>
      <c r="D53" s="178" t="s">
        <v>342</v>
      </c>
    </row>
    <row r="54" spans="1:10" ht="36" customHeight="1" x14ac:dyDescent="0.15">
      <c r="A54" s="178" t="s">
        <v>343</v>
      </c>
      <c r="B54" s="182">
        <v>0.05</v>
      </c>
      <c r="C54" s="182">
        <v>7.0000000000000007E-2</v>
      </c>
      <c r="D54" s="178" t="s">
        <v>384</v>
      </c>
    </row>
    <row r="55" spans="1:10" ht="36" customHeight="1" x14ac:dyDescent="0.15">
      <c r="A55" s="178" t="s">
        <v>345</v>
      </c>
      <c r="B55" s="182">
        <v>0</v>
      </c>
      <c r="C55" s="182">
        <v>0.01</v>
      </c>
      <c r="D55" s="178" t="s">
        <v>385</v>
      </c>
    </row>
    <row r="56" spans="1:10" ht="36" customHeight="1" x14ac:dyDescent="0.15">
      <c r="A56" s="178" t="s">
        <v>347</v>
      </c>
      <c r="B56" s="178"/>
      <c r="C56" s="183">
        <v>0.7</v>
      </c>
      <c r="D56" s="178" t="s">
        <v>348</v>
      </c>
    </row>
    <row r="58" spans="1:10" ht="42" customHeight="1" x14ac:dyDescent="0.15">
      <c r="A58" s="172" t="s">
        <v>349</v>
      </c>
      <c r="B58" s="172" t="s">
        <v>350</v>
      </c>
      <c r="C58" s="172" t="s">
        <v>386</v>
      </c>
      <c r="D58" s="172" t="s">
        <v>387</v>
      </c>
      <c r="E58" s="172" t="s">
        <v>353</v>
      </c>
      <c r="F58" s="172" t="s">
        <v>354</v>
      </c>
      <c r="G58" s="172" t="s">
        <v>388</v>
      </c>
      <c r="H58" s="172" t="s">
        <v>356</v>
      </c>
      <c r="I58" s="172" t="s">
        <v>357</v>
      </c>
      <c r="J58" s="172" t="s">
        <v>389</v>
      </c>
    </row>
    <row r="59" spans="1:10" ht="22" customHeight="1" x14ac:dyDescent="0.15">
      <c r="A59" s="180">
        <v>2027</v>
      </c>
      <c r="B59" s="173">
        <f>'LBO Model'!G92</f>
        <v>4269.1499999999996</v>
      </c>
      <c r="C59" s="174">
        <f>$C$54</f>
        <v>7.0000000000000007E-2</v>
      </c>
      <c r="D59" s="173">
        <f>'Revenue Build'!E8*(1+C59)</f>
        <v>4309.4250000000002</v>
      </c>
      <c r="E59" s="174">
        <f>'5% Downside - LBO Model'!G119</f>
        <v>0.18600000000000003</v>
      </c>
      <c r="F59" s="174">
        <v>0</v>
      </c>
      <c r="G59" s="173">
        <f>D59*(E59+F59)</f>
        <v>801.5530500000001</v>
      </c>
      <c r="H59" s="173">
        <f>G59-'5% Downside - LBO Model'!G118</f>
        <v>14.982300000000009</v>
      </c>
      <c r="I59" s="173">
        <f>MAX(0,H59*$C$56)</f>
        <v>10.487610000000005</v>
      </c>
      <c r="J59" s="173">
        <f>MAX(0,'5% Downside - LBO Model'!G157-SUM($I59:I59))</f>
        <v>2615.2478414348207</v>
      </c>
    </row>
    <row r="60" spans="1:10" ht="22" customHeight="1" x14ac:dyDescent="0.15">
      <c r="A60" s="180">
        <v>2028</v>
      </c>
      <c r="B60" s="173">
        <f>'LBO Model'!H92</f>
        <v>4525.2990000000009</v>
      </c>
      <c r="C60" s="174">
        <f>$C$54</f>
        <v>7.0000000000000007E-2</v>
      </c>
      <c r="D60" s="173">
        <f>D59*(1+C60)</f>
        <v>4611.0847500000009</v>
      </c>
      <c r="E60" s="174">
        <f>'5% Downside - LBO Model'!H119</f>
        <v>0.20000000000000004</v>
      </c>
      <c r="F60" s="174">
        <v>2E-3</v>
      </c>
      <c r="G60" s="173">
        <f>D60*(E60+F60)</f>
        <v>931.4391195000004</v>
      </c>
      <c r="H60" s="173">
        <f>G60-'5% Downside - LBO Model'!H118</f>
        <v>43.375369500000147</v>
      </c>
      <c r="I60" s="173">
        <f>MAX(0,H60*$C$56)</f>
        <v>30.362758650000099</v>
      </c>
      <c r="J60" s="173">
        <f>MAX(0,'5% Downside - LBO Model'!H157-SUM($I59:I60))</f>
        <v>2175.8489079031647</v>
      </c>
    </row>
    <row r="61" spans="1:10" ht="22" customHeight="1" x14ac:dyDescent="0.15">
      <c r="A61" s="180">
        <v>2029</v>
      </c>
      <c r="B61" s="173">
        <f>'LBO Model'!I92</f>
        <v>4796.8169400000006</v>
      </c>
      <c r="C61" s="174">
        <f>$C$54</f>
        <v>7.0000000000000007E-2</v>
      </c>
      <c r="D61" s="173">
        <f>D60*(1+C61)</f>
        <v>4933.8606825000015</v>
      </c>
      <c r="E61" s="174">
        <f>'5% Downside - LBO Model'!I119</f>
        <v>0.2</v>
      </c>
      <c r="F61" s="174">
        <v>4.0000000000000001E-3</v>
      </c>
      <c r="G61" s="173">
        <f>D61*(E61+F61)</f>
        <v>1006.5075792300004</v>
      </c>
      <c r="H61" s="173">
        <f>G61-'5% Downside - LBO Model'!I118</f>
        <v>74.040641730000175</v>
      </c>
      <c r="I61" s="173">
        <f>MAX(0,H61*$C$56)</f>
        <v>51.82844921100012</v>
      </c>
      <c r="J61" s="173">
        <f>MAX(0,'5% Downside - LBO Model'!I157-SUM($I59:I61))</f>
        <v>1663.4168101275657</v>
      </c>
    </row>
    <row r="62" spans="1:10" ht="22" customHeight="1" x14ac:dyDescent="0.15">
      <c r="A62" s="180">
        <v>2030</v>
      </c>
      <c r="B62" s="173">
        <f>'LBO Model'!J92</f>
        <v>5084.6259564000011</v>
      </c>
      <c r="C62" s="174">
        <f>$C$54</f>
        <v>7.0000000000000007E-2</v>
      </c>
      <c r="D62" s="173">
        <f>D61*(1+C62)</f>
        <v>5279.2309302750018</v>
      </c>
      <c r="E62" s="174">
        <f>'5% Downside - LBO Model'!J119</f>
        <v>0.2</v>
      </c>
      <c r="F62" s="174">
        <v>7.0000000000000001E-3</v>
      </c>
      <c r="G62" s="173">
        <f>D62*(E62+F62)</f>
        <v>1092.8008025669255</v>
      </c>
      <c r="H62" s="173">
        <f>G62-'5% Downside - LBO Model'!J118</f>
        <v>113.7105181919253</v>
      </c>
      <c r="I62" s="173">
        <f>MAX(0,H62*$C$56)</f>
        <v>79.597362734347712</v>
      </c>
      <c r="J62" s="173">
        <f>MAX(0,'5% Downside - LBO Model'!J157-SUM($I59:I62))</f>
        <v>1067.7447116014789</v>
      </c>
    </row>
    <row r="63" spans="1:10" ht="22" customHeight="1" x14ac:dyDescent="0.15">
      <c r="A63" s="180">
        <v>2031</v>
      </c>
      <c r="B63" s="173">
        <f>'LBO Model'!K92</f>
        <v>5389.7035137840012</v>
      </c>
      <c r="C63" s="174">
        <f>$C$54</f>
        <v>7.0000000000000007E-2</v>
      </c>
      <c r="D63" s="173">
        <f>D62*(1+C63)</f>
        <v>5648.7770953942527</v>
      </c>
      <c r="E63" s="174">
        <f>'5% Downside - LBO Model'!K119</f>
        <v>0.2</v>
      </c>
      <c r="F63" s="174">
        <v>0.01</v>
      </c>
      <c r="G63" s="173">
        <f>D63*(E63+F63)</f>
        <v>1186.2431900327931</v>
      </c>
      <c r="H63" s="173">
        <f>G63-'5% Downside - LBO Model'!K118</f>
        <v>158.19839143904278</v>
      </c>
      <c r="I63" s="173">
        <f>MAX(0,H63*$C$56)</f>
        <v>110.73887400732994</v>
      </c>
      <c r="J63" s="173">
        <f>MAX(0,'5% Downside - LBO Model'!K157-SUM($I59:I63))</f>
        <v>381.81714130718319</v>
      </c>
    </row>
    <row r="65" spans="1:4" ht="30" customHeight="1" x14ac:dyDescent="0.15">
      <c r="A65" s="172" t="s">
        <v>359</v>
      </c>
      <c r="B65" s="172" t="s">
        <v>340</v>
      </c>
      <c r="C65" s="172" t="s">
        <v>390</v>
      </c>
      <c r="D65" s="172" t="s">
        <v>187</v>
      </c>
    </row>
    <row r="66" spans="1:4" ht="25" customHeight="1" x14ac:dyDescent="0.15">
      <c r="A66" s="178" t="s">
        <v>360</v>
      </c>
      <c r="B66" s="181">
        <f>'5% Downside - LBO Model'!K92</f>
        <v>5140.2239929687512</v>
      </c>
      <c r="C66" s="181">
        <f>'7% Stretch - LBO Model'!K92</f>
        <v>5648.7770953942509</v>
      </c>
      <c r="D66" s="178" t="s">
        <v>391</v>
      </c>
    </row>
    <row r="67" spans="1:4" ht="25" customHeight="1" x14ac:dyDescent="0.15">
      <c r="A67" s="178" t="s">
        <v>362</v>
      </c>
      <c r="B67" s="181">
        <f>'5% Downside - LBO Model'!K118</f>
        <v>1028.0447985937503</v>
      </c>
      <c r="C67" s="181">
        <f>'7% Stretch - LBO Model'!K118</f>
        <v>1186.2431900327927</v>
      </c>
      <c r="D67" s="178" t="s">
        <v>392</v>
      </c>
    </row>
    <row r="68" spans="1:4" ht="25" customHeight="1" x14ac:dyDescent="0.15">
      <c r="A68" s="178" t="s">
        <v>364</v>
      </c>
      <c r="B68" s="181">
        <f>'5% Downside - LBO Model'!K184</f>
        <v>13315.109427126397</v>
      </c>
      <c r="C68" s="181">
        <f>'7% Stretch - LBO Model'!K184</f>
        <v>15364.075480052867</v>
      </c>
      <c r="D68" s="178" t="s">
        <v>365</v>
      </c>
    </row>
    <row r="69" spans="1:4" ht="25" customHeight="1" x14ac:dyDescent="0.15">
      <c r="A69" s="178" t="s">
        <v>366</v>
      </c>
      <c r="B69" s="181">
        <f>-'5% Downside - LBO Model'!K185</f>
        <v>1019.8321959098611</v>
      </c>
      <c r="C69" s="181">
        <f>-'7% Stretch - LBO Model'!K185</f>
        <v>736.81714130718319</v>
      </c>
      <c r="D69" s="178" t="s">
        <v>393</v>
      </c>
    </row>
    <row r="70" spans="1:4" ht="25" customHeight="1" x14ac:dyDescent="0.15">
      <c r="A70" s="178" t="s">
        <v>368</v>
      </c>
      <c r="B70" s="181">
        <f>'5% Downside - LBO Model'!K188</f>
        <v>11945.823948402744</v>
      </c>
      <c r="C70" s="181">
        <f>'7% Stretch - LBO Model'!K188</f>
        <v>14201.657465824437</v>
      </c>
      <c r="D70" s="178" t="s">
        <v>369</v>
      </c>
    </row>
    <row r="71" spans="1:4" ht="25" customHeight="1" x14ac:dyDescent="0.15">
      <c r="A71" s="178" t="s">
        <v>370</v>
      </c>
      <c r="B71" s="188">
        <f>'5% Downside - LBO Model'!C196</f>
        <v>2.2144088565268674</v>
      </c>
      <c r="C71" s="188">
        <f>'7% Stretch - LBO Model'!C196</f>
        <v>2.6325748818596506</v>
      </c>
      <c r="D71" s="178" t="s">
        <v>371</v>
      </c>
    </row>
    <row r="72" spans="1:4" ht="25" customHeight="1" x14ac:dyDescent="0.15">
      <c r="A72" s="178" t="s">
        <v>372</v>
      </c>
      <c r="B72" s="189">
        <f>'5% Downside - LBO Model'!C197</f>
        <v>0.17233454361001943</v>
      </c>
      <c r="C72" s="189">
        <f>'7% Stretch - LBO Model'!C197</f>
        <v>0.21360161761127849</v>
      </c>
      <c r="D72" s="178" t="s">
        <v>373</v>
      </c>
    </row>
  </sheetData>
  <mergeCells count="2">
    <mergeCell ref="A22:J22"/>
    <mergeCell ref="A46:J46"/>
  </mergeCell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26"/>
  <sheetViews>
    <sheetView topLeftCell="A176" zoomScaleNormal="100" workbookViewId="0">
      <selection activeCell="H199" sqref="H199"/>
    </sheetView>
  </sheetViews>
  <sheetFormatPr baseColWidth="10" defaultColWidth="8.6640625" defaultRowHeight="13" x14ac:dyDescent="0.15"/>
  <sheetData>
    <row r="1" spans="1:11" ht="18" x14ac:dyDescent="0.2">
      <c r="A1" s="190" t="s">
        <v>394</v>
      </c>
      <c r="G1" t="s">
        <v>23</v>
      </c>
      <c r="I1" t="str">
        <f>G217</f>
        <v>PASS</v>
      </c>
    </row>
    <row r="2" spans="1:11" x14ac:dyDescent="0.15">
      <c r="A2" t="s">
        <v>24</v>
      </c>
      <c r="C2" t="str">
        <f>""</f>
        <v/>
      </c>
      <c r="D2">
        <f>$K$11-2</f>
        <v>2023</v>
      </c>
      <c r="E2">
        <f>D2+1</f>
        <v>2024</v>
      </c>
      <c r="F2">
        <f>E2+1</f>
        <v>2025</v>
      </c>
      <c r="G2">
        <v>2027</v>
      </c>
      <c r="H2">
        <v>2028</v>
      </c>
      <c r="I2">
        <v>2029</v>
      </c>
      <c r="J2">
        <v>2030</v>
      </c>
      <c r="K2">
        <v>2031</v>
      </c>
    </row>
    <row r="3" spans="1:11" x14ac:dyDescent="0.15">
      <c r="A3" t="s">
        <v>395</v>
      </c>
      <c r="C3" t="str">
        <f>""</f>
        <v/>
      </c>
      <c r="D3" t="str">
        <f>IF(D$2&lt;=$K$11,"A","E")</f>
        <v>A</v>
      </c>
      <c r="E3" t="s">
        <v>396</v>
      </c>
      <c r="F3" t="s">
        <v>396</v>
      </c>
      <c r="G3" t="s">
        <v>397</v>
      </c>
      <c r="H3" t="s">
        <v>397</v>
      </c>
      <c r="I3" t="s">
        <v>397</v>
      </c>
      <c r="J3" t="s">
        <v>397</v>
      </c>
      <c r="K3" t="s">
        <v>397</v>
      </c>
    </row>
    <row r="5" spans="1:11" x14ac:dyDescent="0.15">
      <c r="B5" t="s">
        <v>26</v>
      </c>
    </row>
    <row r="7" spans="1:11" x14ac:dyDescent="0.15">
      <c r="B7" t="s">
        <v>27</v>
      </c>
      <c r="E7" t="s">
        <v>28</v>
      </c>
      <c r="I7" t="s">
        <v>29</v>
      </c>
    </row>
    <row r="8" spans="1:11" x14ac:dyDescent="0.15">
      <c r="B8" t="s">
        <v>30</v>
      </c>
      <c r="C8" t="s">
        <v>31</v>
      </c>
      <c r="E8" t="s">
        <v>32</v>
      </c>
      <c r="G8">
        <v>300</v>
      </c>
      <c r="I8" t="s">
        <v>33</v>
      </c>
      <c r="K8">
        <f>K$2</f>
        <v>2031</v>
      </c>
    </row>
    <row r="9" spans="1:11" x14ac:dyDescent="0.15">
      <c r="B9" t="s">
        <v>34</v>
      </c>
      <c r="C9" t="s">
        <v>35</v>
      </c>
      <c r="E9" t="s">
        <v>36</v>
      </c>
      <c r="G9">
        <v>0.01</v>
      </c>
      <c r="I9" t="s">
        <v>37</v>
      </c>
      <c r="K9">
        <f>C20</f>
        <v>12.951876654927849</v>
      </c>
    </row>
    <row r="10" spans="1:11" x14ac:dyDescent="0.15">
      <c r="B10" t="s">
        <v>38</v>
      </c>
      <c r="C10">
        <v>110.05</v>
      </c>
      <c r="E10" t="s">
        <v>39</v>
      </c>
      <c r="G10">
        <v>0</v>
      </c>
      <c r="I10" t="s">
        <v>40</v>
      </c>
      <c r="K10">
        <v>0.03</v>
      </c>
    </row>
    <row r="11" spans="1:11" x14ac:dyDescent="0.15">
      <c r="B11" t="s">
        <v>41</v>
      </c>
      <c r="C11">
        <v>0.2</v>
      </c>
      <c r="E11" t="s">
        <v>42</v>
      </c>
      <c r="G11">
        <v>1</v>
      </c>
      <c r="I11" t="s">
        <v>43</v>
      </c>
      <c r="K11">
        <v>2025</v>
      </c>
    </row>
    <row r="12" spans="1:11" x14ac:dyDescent="0.15">
      <c r="B12" t="s">
        <v>44</v>
      </c>
      <c r="C12">
        <f>C10*(1+C11)</f>
        <v>132.06</v>
      </c>
      <c r="I12" t="s">
        <v>45</v>
      </c>
    </row>
    <row r="13" spans="1:11" x14ac:dyDescent="0.15">
      <c r="B13" t="s">
        <v>46</v>
      </c>
      <c r="C13">
        <v>51.876817000000003</v>
      </c>
      <c r="E13" t="s">
        <v>47</v>
      </c>
      <c r="I13" t="str">
        <f>"Controlled Circularity "&amp;IF(K13=1,"On","Off")</f>
        <v>Controlled Circularity On</v>
      </c>
      <c r="K13">
        <v>1</v>
      </c>
    </row>
    <row r="14" spans="1:11" x14ac:dyDescent="0.15">
      <c r="B14" t="s">
        <v>48</v>
      </c>
      <c r="C14">
        <f>C12*C13</f>
        <v>6850.8524530200002</v>
      </c>
      <c r="E14" t="s">
        <v>49</v>
      </c>
      <c r="G14">
        <v>0.04</v>
      </c>
      <c r="I14" t="s">
        <v>50</v>
      </c>
      <c r="K14">
        <v>12</v>
      </c>
    </row>
    <row r="15" spans="1:11" x14ac:dyDescent="0.15">
      <c r="B15" t="s">
        <v>51</v>
      </c>
      <c r="C15">
        <v>1679</v>
      </c>
      <c r="E15" t="s">
        <v>52</v>
      </c>
      <c r="G15">
        <v>0.21</v>
      </c>
      <c r="I15" t="s">
        <v>53</v>
      </c>
      <c r="K15">
        <v>31</v>
      </c>
    </row>
    <row r="16" spans="1:11" x14ac:dyDescent="0.15">
      <c r="B16" t="s">
        <v>54</v>
      </c>
      <c r="C16">
        <v>0</v>
      </c>
      <c r="E16" t="s">
        <v>55</v>
      </c>
      <c r="G16">
        <v>0.25</v>
      </c>
    </row>
    <row r="17" spans="2:11" x14ac:dyDescent="0.15">
      <c r="B17" t="s">
        <v>56</v>
      </c>
      <c r="C17">
        <v>-93</v>
      </c>
      <c r="E17" t="s">
        <v>57</v>
      </c>
      <c r="G17">
        <v>50</v>
      </c>
    </row>
    <row r="18" spans="2:11" x14ac:dyDescent="0.15">
      <c r="B18" t="s">
        <v>58</v>
      </c>
      <c r="C18">
        <f>SUM(C14:C17)</f>
        <v>8436.8524530200011</v>
      </c>
    </row>
    <row r="19" spans="2:11" x14ac:dyDescent="0.15">
      <c r="B19" t="s">
        <v>59</v>
      </c>
      <c r="C19">
        <v>651.4</v>
      </c>
    </row>
    <row r="20" spans="2:11" x14ac:dyDescent="0.15">
      <c r="B20" t="s">
        <v>60</v>
      </c>
      <c r="C20">
        <f>C18/C19</f>
        <v>12.951876654927849</v>
      </c>
    </row>
    <row r="22" spans="2:11" x14ac:dyDescent="0.15">
      <c r="B22" t="s">
        <v>61</v>
      </c>
    </row>
    <row r="24" spans="2:11" x14ac:dyDescent="0.15">
      <c r="B24" t="s">
        <v>62</v>
      </c>
      <c r="C24" t="s">
        <v>63</v>
      </c>
      <c r="D24" t="s">
        <v>64</v>
      </c>
      <c r="E24" t="s">
        <v>65</v>
      </c>
      <c r="F24" t="s">
        <v>66</v>
      </c>
      <c r="G24" t="s">
        <v>67</v>
      </c>
      <c r="H24" t="s">
        <v>68</v>
      </c>
      <c r="I24" t="s">
        <v>69</v>
      </c>
      <c r="J24" t="s">
        <v>70</v>
      </c>
      <c r="K24" t="s">
        <v>71</v>
      </c>
    </row>
    <row r="25" spans="2:11" x14ac:dyDescent="0.15">
      <c r="B25" t="str">
        <f>+"New Revolving Credit Facility ($"&amp;G8&amp;")"</f>
        <v>New Revolving Credit Facility ($300)</v>
      </c>
      <c r="C25">
        <v>0</v>
      </c>
      <c r="D25">
        <f>+C25/$C$19</f>
        <v>0</v>
      </c>
      <c r="E25">
        <v>0</v>
      </c>
      <c r="F25">
        <v>5</v>
      </c>
      <c r="G25">
        <v>350</v>
      </c>
      <c r="H25">
        <v>0</v>
      </c>
      <c r="I25">
        <f>+$C25*H25</f>
        <v>0</v>
      </c>
      <c r="J25">
        <v>1.2500000000000001E-2</v>
      </c>
      <c r="K25">
        <f>+$G8*J25</f>
        <v>3.75</v>
      </c>
    </row>
    <row r="26" spans="2:11" x14ac:dyDescent="0.15">
      <c r="B26" t="s">
        <v>72</v>
      </c>
      <c r="C26">
        <f>$C$19*4.5</f>
        <v>2931.2999999999997</v>
      </c>
      <c r="D26">
        <f>+C26/$C$19</f>
        <v>4.5</v>
      </c>
      <c r="E26">
        <v>0.01</v>
      </c>
      <c r="F26">
        <v>7</v>
      </c>
      <c r="G26">
        <v>375</v>
      </c>
      <c r="H26">
        <v>0.01</v>
      </c>
      <c r="I26">
        <f>+$C26*H26</f>
        <v>29.312999999999999</v>
      </c>
      <c r="J26">
        <v>2.2499999999999999E-2</v>
      </c>
      <c r="K26">
        <f>+$C26*J26</f>
        <v>65.954249999999988</v>
      </c>
    </row>
    <row r="27" spans="2:11" x14ac:dyDescent="0.15">
      <c r="B27" t="s">
        <v>73</v>
      </c>
      <c r="C27">
        <v>355</v>
      </c>
      <c r="D27">
        <f>+C27/$C$19</f>
        <v>0.54498004298434144</v>
      </c>
      <c r="E27">
        <v>0</v>
      </c>
      <c r="F27">
        <v>8</v>
      </c>
      <c r="G27">
        <v>7.4999999999999997E-2</v>
      </c>
      <c r="H27">
        <v>0</v>
      </c>
      <c r="I27">
        <f>+$C27*H27</f>
        <v>0</v>
      </c>
      <c r="J27">
        <v>0.03</v>
      </c>
      <c r="K27">
        <f>+$C27*J27</f>
        <v>10.65</v>
      </c>
    </row>
    <row r="28" spans="2:11" x14ac:dyDescent="0.15">
      <c r="B28" t="s">
        <v>74</v>
      </c>
      <c r="C28">
        <f>+C17*-1</f>
        <v>93</v>
      </c>
      <c r="D28">
        <f>+C28/$C$19</f>
        <v>0.14276941971139084</v>
      </c>
    </row>
    <row r="29" spans="2:11" x14ac:dyDescent="0.15">
      <c r="B29" t="s">
        <v>75</v>
      </c>
      <c r="C29">
        <f>+C38-SUM(C25:C28)</f>
        <v>5394.5882275502026</v>
      </c>
      <c r="D29">
        <f>+C29/$C$19</f>
        <v>8.2815293637553005</v>
      </c>
    </row>
    <row r="30" spans="2:11" x14ac:dyDescent="0.15">
      <c r="B30" t="s">
        <v>76</v>
      </c>
      <c r="C30">
        <f>+SUM(C25:C29)</f>
        <v>8773.8882275502019</v>
      </c>
      <c r="D30">
        <f>+SUM(D25:D29)</f>
        <v>13.469278826451031</v>
      </c>
      <c r="I30">
        <f>+SUM(I25:I29)</f>
        <v>29.312999999999999</v>
      </c>
      <c r="K30">
        <f>+SUM(K25:K29)</f>
        <v>80.354249999999993</v>
      </c>
    </row>
    <row r="32" spans="2:11" x14ac:dyDescent="0.15">
      <c r="B32" t="s">
        <v>77</v>
      </c>
      <c r="C32" t="s">
        <v>63</v>
      </c>
      <c r="D32" t="s">
        <v>64</v>
      </c>
    </row>
    <row r="33" spans="2:11" x14ac:dyDescent="0.15">
      <c r="B33" t="s">
        <v>78</v>
      </c>
      <c r="C33">
        <f>+C14</f>
        <v>6850.8524530200002</v>
      </c>
      <c r="D33">
        <f>+C33/$C$19</f>
        <v>10.517120744580904</v>
      </c>
    </row>
    <row r="34" spans="2:11" x14ac:dyDescent="0.15">
      <c r="B34" t="s">
        <v>79</v>
      </c>
      <c r="C34">
        <f>+SUM(C15:C16)</f>
        <v>1679</v>
      </c>
      <c r="D34">
        <f>+C34/$C$19</f>
        <v>2.5775253300583358</v>
      </c>
    </row>
    <row r="35" spans="2:11" x14ac:dyDescent="0.15">
      <c r="B35" t="s">
        <v>80</v>
      </c>
      <c r="C35">
        <f>+G17</f>
        <v>50</v>
      </c>
      <c r="D35">
        <f>+C35/$C$19</f>
        <v>7.6757752533005832E-2</v>
      </c>
    </row>
    <row r="36" spans="2:11" x14ac:dyDescent="0.15">
      <c r="B36" t="s">
        <v>81</v>
      </c>
      <c r="C36">
        <f>$C$18*1%</f>
        <v>84.36852453020002</v>
      </c>
      <c r="D36">
        <f>+C36/$C$19</f>
        <v>0.12951876654927852</v>
      </c>
    </row>
    <row r="37" spans="2:11" x14ac:dyDescent="0.15">
      <c r="B37" t="s">
        <v>82</v>
      </c>
      <c r="C37">
        <f>+SUM(I30,K30)</f>
        <v>109.66725</v>
      </c>
      <c r="D37">
        <f>+C37/$C$19</f>
        <v>0.16835623272950567</v>
      </c>
      <c r="E37" t="s">
        <v>83</v>
      </c>
    </row>
    <row r="38" spans="2:11" x14ac:dyDescent="0.15">
      <c r="B38" t="s">
        <v>84</v>
      </c>
      <c r="C38">
        <f>+SUM(C33:C37)</f>
        <v>8773.8882275502019</v>
      </c>
      <c r="D38">
        <f>+SUM(D33:D37)</f>
        <v>13.469278826451029</v>
      </c>
      <c r="E38" t="str">
        <f>IF(ABS(C38-C30)&lt;=0.01,"YES","NO")</f>
        <v>YES</v>
      </c>
    </row>
    <row r="40" spans="2:11" x14ac:dyDescent="0.15">
      <c r="B40" t="s">
        <v>85</v>
      </c>
    </row>
    <row r="42" spans="2:11" x14ac:dyDescent="0.15">
      <c r="B42" t="s">
        <v>86</v>
      </c>
    </row>
    <row r="44" spans="2:11" x14ac:dyDescent="0.15">
      <c r="C44" t="str">
        <f>""</f>
        <v/>
      </c>
      <c r="D44" t="str">
        <f t="shared" ref="D44:K44" si="0">D$2&amp;D$3</f>
        <v>2023A</v>
      </c>
      <c r="E44" t="str">
        <f t="shared" si="0"/>
        <v>2024A</v>
      </c>
      <c r="F44" t="str">
        <f t="shared" si="0"/>
        <v>2025A</v>
      </c>
      <c r="G44" t="str">
        <f t="shared" si="0"/>
        <v>2027E</v>
      </c>
      <c r="H44" t="str">
        <f t="shared" si="0"/>
        <v>2028E</v>
      </c>
      <c r="I44" t="str">
        <f t="shared" si="0"/>
        <v>2029E</v>
      </c>
      <c r="J44" t="str">
        <f t="shared" si="0"/>
        <v>2030E</v>
      </c>
      <c r="K44" t="str">
        <f t="shared" si="0"/>
        <v>2031E</v>
      </c>
    </row>
    <row r="45" spans="2:11" x14ac:dyDescent="0.15">
      <c r="B45" t="s">
        <v>87</v>
      </c>
      <c r="C45" t="str">
        <f>""</f>
        <v/>
      </c>
      <c r="D45" t="str">
        <f>""</f>
        <v/>
      </c>
      <c r="E45">
        <f>IFERROR(E89/D89-1,0)</f>
        <v>-1.3015455853826352E-2</v>
      </c>
      <c r="F45">
        <v>3.8961038961038898E-2</v>
      </c>
      <c r="G45">
        <v>0.05</v>
      </c>
      <c r="H45">
        <v>0.05</v>
      </c>
      <c r="I45">
        <v>0.05</v>
      </c>
      <c r="J45">
        <v>0.05</v>
      </c>
      <c r="K45">
        <v>0.05</v>
      </c>
    </row>
    <row r="46" spans="2:11" x14ac:dyDescent="0.15">
      <c r="B46" t="s">
        <v>88</v>
      </c>
      <c r="C46" t="str">
        <f>""</f>
        <v/>
      </c>
      <c r="D46" t="str">
        <f>""</f>
        <v/>
      </c>
      <c r="E46">
        <v>4.6195652173913103E-2</v>
      </c>
      <c r="F46">
        <v>3.8961038961038898E-2</v>
      </c>
      <c r="G46">
        <v>0.05</v>
      </c>
      <c r="H46">
        <v>0.05</v>
      </c>
      <c r="I46">
        <v>0.05</v>
      </c>
      <c r="J46">
        <v>0.05</v>
      </c>
      <c r="K46">
        <v>0.05</v>
      </c>
    </row>
    <row r="47" spans="2:11" x14ac:dyDescent="0.15">
      <c r="B47" t="s">
        <v>89</v>
      </c>
      <c r="C47" t="str">
        <f>""</f>
        <v/>
      </c>
      <c r="D47" t="str">
        <f>""</f>
        <v/>
      </c>
      <c r="E47">
        <v>4.6195652173913103E-2</v>
      </c>
      <c r="F47">
        <v>3.8961038961038898E-2</v>
      </c>
      <c r="G47">
        <v>0</v>
      </c>
      <c r="H47">
        <v>0</v>
      </c>
      <c r="I47">
        <v>0</v>
      </c>
      <c r="J47">
        <v>0</v>
      </c>
      <c r="K47">
        <v>0</v>
      </c>
    </row>
    <row r="48" spans="2:11" x14ac:dyDescent="0.15">
      <c r="B48" t="s">
        <v>90</v>
      </c>
      <c r="C48" t="str">
        <f>""</f>
        <v/>
      </c>
      <c r="D48" t="str">
        <f>""</f>
        <v/>
      </c>
      <c r="E48">
        <v>4.6195652173913103E-2</v>
      </c>
      <c r="F48">
        <v>3.8961038961038898E-2</v>
      </c>
      <c r="G48">
        <f>G92/'5% Downside - Revenue Build'!E8-1</f>
        <v>5.0000000000000044E-2</v>
      </c>
      <c r="H48">
        <f>H92/G92-1</f>
        <v>5.0000000000000044E-2</v>
      </c>
      <c r="I48">
        <f>I92/H92-1</f>
        <v>5.0000000000000044E-2</v>
      </c>
      <c r="J48">
        <f>J92/I92-1</f>
        <v>5.0000000000000044E-2</v>
      </c>
      <c r="K48">
        <f>K92/J92-1</f>
        <v>5.0000000000000044E-2</v>
      </c>
    </row>
    <row r="50" spans="2:11" x14ac:dyDescent="0.15">
      <c r="B50" t="s">
        <v>91</v>
      </c>
      <c r="C50" t="str">
        <f>""</f>
        <v/>
      </c>
      <c r="D50">
        <v>0.35</v>
      </c>
      <c r="E50">
        <v>0.35</v>
      </c>
      <c r="F50">
        <v>0.35137696803749102</v>
      </c>
      <c r="G50">
        <v>0.35499999999999998</v>
      </c>
      <c r="H50">
        <v>0.36</v>
      </c>
      <c r="I50">
        <v>0.36</v>
      </c>
      <c r="J50">
        <v>0.36</v>
      </c>
      <c r="K50">
        <v>0.36</v>
      </c>
    </row>
    <row r="52" spans="2:11" x14ac:dyDescent="0.15">
      <c r="B52" t="s">
        <v>92</v>
      </c>
      <c r="C52" t="str">
        <f>""</f>
        <v/>
      </c>
      <c r="D52">
        <v>0.259604519774011</v>
      </c>
      <c r="E52">
        <v>0.26159129937034897</v>
      </c>
      <c r="F52">
        <v>0.26338792059396599</v>
      </c>
      <c r="G52">
        <f>G50+G60-'5% Downside - Revenue Build'!F17</f>
        <v>0.23399999999999999</v>
      </c>
      <c r="H52">
        <f>H50+H60-'5% Downside - Revenue Build'!G17</f>
        <v>0.22399999999999998</v>
      </c>
      <c r="I52">
        <f>I50+I60-'5% Downside - Revenue Build'!H17</f>
        <v>0.22299999999999998</v>
      </c>
      <c r="J52">
        <f>J50+J60-'5% Downside - Revenue Build'!I17</f>
        <v>0.22199999999999998</v>
      </c>
      <c r="K52">
        <f>K50+K60-'5% Downside - Revenue Build'!J17</f>
        <v>0.21999999999999997</v>
      </c>
    </row>
    <row r="54" spans="2:11" x14ac:dyDescent="0.15">
      <c r="B54" t="s">
        <v>93</v>
      </c>
    </row>
    <row r="56" spans="2:11" x14ac:dyDescent="0.15">
      <c r="C56" t="str">
        <f>""</f>
        <v/>
      </c>
      <c r="D56" t="str">
        <f t="shared" ref="D56:K56" si="1">D$2&amp;D$3</f>
        <v>2023A</v>
      </c>
      <c r="E56" t="str">
        <f t="shared" si="1"/>
        <v>2024A</v>
      </c>
      <c r="F56" t="str">
        <f t="shared" si="1"/>
        <v>2025A</v>
      </c>
      <c r="G56" t="str">
        <f t="shared" si="1"/>
        <v>2027E</v>
      </c>
      <c r="H56" t="str">
        <f t="shared" si="1"/>
        <v>2028E</v>
      </c>
      <c r="I56" t="str">
        <f t="shared" si="1"/>
        <v>2029E</v>
      </c>
      <c r="J56" t="str">
        <f t="shared" si="1"/>
        <v>2030E</v>
      </c>
      <c r="K56" t="str">
        <f t="shared" si="1"/>
        <v>2031E</v>
      </c>
    </row>
    <row r="58" spans="2:11" x14ac:dyDescent="0.15">
      <c r="B58" t="s">
        <v>94</v>
      </c>
      <c r="C58" t="str">
        <f>""</f>
        <v/>
      </c>
      <c r="D58">
        <f>IFERROR(D114/D$92,0)</f>
        <v>2.6836158192090395E-2</v>
      </c>
      <c r="E58">
        <v>2.4327418431597001E-2</v>
      </c>
      <c r="F58">
        <v>3.2910325943868203E-2</v>
      </c>
      <c r="G58">
        <v>2.5000000000000001E-2</v>
      </c>
      <c r="H58">
        <v>2.5000000000000001E-2</v>
      </c>
      <c r="I58">
        <v>2.5000000000000001E-2</v>
      </c>
      <c r="J58">
        <v>2.5000000000000001E-2</v>
      </c>
      <c r="K58">
        <v>2.5000000000000001E-2</v>
      </c>
    </row>
    <row r="59" spans="2:11" x14ac:dyDescent="0.15">
      <c r="B59" t="s">
        <v>95</v>
      </c>
      <c r="C59" t="str">
        <f>""</f>
        <v/>
      </c>
      <c r="D59">
        <v>2.6836158192090401E-2</v>
      </c>
      <c r="E59">
        <v>2.4356038923869502E-2</v>
      </c>
      <c r="F59">
        <v>3.7175504186193503E-2</v>
      </c>
      <c r="G59">
        <v>0.04</v>
      </c>
      <c r="H59">
        <v>3.9E-2</v>
      </c>
      <c r="I59">
        <v>3.7999999999999999E-2</v>
      </c>
      <c r="J59">
        <v>3.6999999999999998E-2</v>
      </c>
      <c r="K59">
        <v>3.5000000000000003E-2</v>
      </c>
    </row>
    <row r="60" spans="2:11" x14ac:dyDescent="0.15">
      <c r="B60" t="s">
        <v>96</v>
      </c>
      <c r="C60" t="str">
        <f>""</f>
        <v/>
      </c>
      <c r="D60">
        <f t="shared" ref="D60:K60" si="2">SUM(D58:D59)</f>
        <v>5.3672316384180796E-2</v>
      </c>
      <c r="E60">
        <f t="shared" si="2"/>
        <v>4.8683457355466503E-2</v>
      </c>
      <c r="F60">
        <f t="shared" si="2"/>
        <v>7.0085830130061699E-2</v>
      </c>
      <c r="G60">
        <f t="shared" si="2"/>
        <v>6.5000000000000002E-2</v>
      </c>
      <c r="H60">
        <f t="shared" si="2"/>
        <v>6.4000000000000001E-2</v>
      </c>
      <c r="I60">
        <f t="shared" si="2"/>
        <v>6.3E-2</v>
      </c>
      <c r="J60">
        <f t="shared" si="2"/>
        <v>6.2E-2</v>
      </c>
      <c r="K60">
        <f t="shared" si="2"/>
        <v>6.0000000000000005E-2</v>
      </c>
    </row>
    <row r="62" spans="2:11" x14ac:dyDescent="0.15">
      <c r="B62" t="s">
        <v>97</v>
      </c>
      <c r="C62" t="str">
        <f>""</f>
        <v/>
      </c>
      <c r="D62">
        <f>IFERROR(D145/D$92,0)</f>
        <v>1.8361581920903956E-2</v>
      </c>
      <c r="E62">
        <v>1.7000000000000001E-2</v>
      </c>
      <c r="F62">
        <v>1.4E-2</v>
      </c>
      <c r="G62">
        <v>1.4999999999999999E-2</v>
      </c>
      <c r="H62">
        <v>1.4999999999999999E-2</v>
      </c>
      <c r="I62">
        <v>1.4999999999999999E-2</v>
      </c>
      <c r="J62">
        <v>1.4999999999999999E-2</v>
      </c>
      <c r="K62">
        <v>1.4999999999999999E-2</v>
      </c>
    </row>
    <row r="63" spans="2:11" x14ac:dyDescent="0.15">
      <c r="B63" t="s">
        <v>98</v>
      </c>
      <c r="C63" t="str">
        <f>""</f>
        <v/>
      </c>
      <c r="D63">
        <v>1.8700000000000001E-2</v>
      </c>
      <c r="E63">
        <v>1.7299999999999999E-2</v>
      </c>
      <c r="F63">
        <v>1.3299999999999999E-2</v>
      </c>
      <c r="G63">
        <v>1.4999999999999999E-2</v>
      </c>
      <c r="H63">
        <v>1.4999999999999999E-2</v>
      </c>
      <c r="I63">
        <v>1.4999999999999999E-2</v>
      </c>
      <c r="J63">
        <v>1.4999999999999999E-2</v>
      </c>
      <c r="K63">
        <v>1.4999999999999999E-2</v>
      </c>
    </row>
    <row r="64" spans="2:11" x14ac:dyDescent="0.15">
      <c r="B64" t="s">
        <v>99</v>
      </c>
      <c r="C64" t="str">
        <f>""</f>
        <v/>
      </c>
      <c r="D64">
        <f t="shared" ref="D64:K64" si="3">SUM(D62:D63)</f>
        <v>3.706158192090396E-2</v>
      </c>
      <c r="E64">
        <f t="shared" si="3"/>
        <v>3.4299999999999997E-2</v>
      </c>
      <c r="F64">
        <f t="shared" si="3"/>
        <v>2.7299999999999998E-2</v>
      </c>
      <c r="G64">
        <f t="shared" si="3"/>
        <v>0.03</v>
      </c>
      <c r="H64">
        <f t="shared" si="3"/>
        <v>0.03</v>
      </c>
      <c r="I64">
        <f t="shared" si="3"/>
        <v>0.03</v>
      </c>
      <c r="J64">
        <f t="shared" si="3"/>
        <v>0.03</v>
      </c>
      <c r="K64">
        <f t="shared" si="3"/>
        <v>0.03</v>
      </c>
    </row>
    <row r="66" spans="2:11" x14ac:dyDescent="0.15">
      <c r="B66" t="s">
        <v>100</v>
      </c>
      <c r="C66" t="str">
        <f>""</f>
        <v/>
      </c>
      <c r="D66">
        <v>6.5000000000000002E-2</v>
      </c>
      <c r="E66">
        <v>6.5000000000000002E-2</v>
      </c>
      <c r="F66">
        <v>6.5000000000000002E-2</v>
      </c>
      <c r="G66">
        <v>6.5000000000000002E-2</v>
      </c>
      <c r="H66">
        <v>6.5000000000000002E-2</v>
      </c>
      <c r="I66">
        <v>6.5000000000000002E-2</v>
      </c>
      <c r="J66">
        <v>6.5000000000000002E-2</v>
      </c>
      <c r="K66">
        <v>6.5000000000000002E-2</v>
      </c>
    </row>
    <row r="68" spans="2:11" x14ac:dyDescent="0.15">
      <c r="B68" t="s">
        <v>101</v>
      </c>
    </row>
    <row r="69" spans="2:11" x14ac:dyDescent="0.15">
      <c r="B69" t="s">
        <v>102</v>
      </c>
      <c r="F69">
        <v>3.9300000000000002E-2</v>
      </c>
      <c r="G69">
        <v>3.9800000000000002E-2</v>
      </c>
      <c r="H69">
        <v>3.9849999999999997E-2</v>
      </c>
      <c r="I69">
        <v>4.0399999999999998E-2</v>
      </c>
      <c r="J69">
        <v>4.1450000000000001E-2</v>
      </c>
      <c r="K69">
        <v>4.2750000000000003E-2</v>
      </c>
    </row>
    <row r="71" spans="2:11" x14ac:dyDescent="0.15">
      <c r="B71" t="s">
        <v>103</v>
      </c>
    </row>
    <row r="73" spans="2:11" x14ac:dyDescent="0.15">
      <c r="G73" t="str">
        <f>G$2&amp;G$3</f>
        <v>2027E</v>
      </c>
      <c r="H73" t="str">
        <f>H$2&amp;H$3</f>
        <v>2028E</v>
      </c>
      <c r="I73" t="str">
        <f>I$2&amp;I$3</f>
        <v>2029E</v>
      </c>
      <c r="J73" t="str">
        <f>J$2&amp;J$3</f>
        <v>2030E</v>
      </c>
      <c r="K73" t="str">
        <f>K$2&amp;K$3</f>
        <v>2031E</v>
      </c>
    </row>
    <row r="74" spans="2:11" x14ac:dyDescent="0.15">
      <c r="B74" t="s">
        <v>104</v>
      </c>
      <c r="C74" t="s">
        <v>66</v>
      </c>
      <c r="D74" t="s">
        <v>69</v>
      </c>
    </row>
    <row r="75" spans="2:11" x14ac:dyDescent="0.15">
      <c r="B75" t="str">
        <f>+B25</f>
        <v>New Revolving Credit Facility ($300)</v>
      </c>
      <c r="C75">
        <f>+F25</f>
        <v>5</v>
      </c>
      <c r="D75">
        <f>+I25</f>
        <v>0</v>
      </c>
      <c r="G75">
        <f>+-IF($D75&lt;=(-SUM($E75:F75)),0,($D75/$C75))</f>
        <v>0</v>
      </c>
      <c r="H75">
        <f>+-IF($D75&lt;=(-SUM($E75:G75)),0,($D75/$C75))</f>
        <v>0</v>
      </c>
      <c r="I75">
        <f>+-IF($D75&lt;=(-SUM($E75:H75)),0,($D75/$C75))</f>
        <v>0</v>
      </c>
      <c r="J75">
        <f>+-IF($D75&lt;=(-SUM($E75:I75)),0,($D75/$C75))</f>
        <v>0</v>
      </c>
      <c r="K75">
        <f>+-IF($D75&lt;=(-SUM($E75:J75)),0,($D75/$C75))</f>
        <v>0</v>
      </c>
    </row>
    <row r="76" spans="2:11" x14ac:dyDescent="0.15">
      <c r="B76" t="str">
        <f>+B26</f>
        <v>New First Lien Term Loan</v>
      </c>
      <c r="C76">
        <f>+F26</f>
        <v>7</v>
      </c>
      <c r="D76">
        <f>+I26</f>
        <v>29.312999999999999</v>
      </c>
      <c r="G76">
        <f>+-IF($D76&lt;=(-SUM($E76:F76)),0,($D76/$C76))</f>
        <v>-4.1875714285714283</v>
      </c>
      <c r="H76">
        <f>+-IF($D76&lt;=(-SUM($E76:G76)),0,($D76/$C76))</f>
        <v>-4.1875714285714283</v>
      </c>
      <c r="I76">
        <f>+-IF($D76&lt;=(-SUM($E76:H76)),0,($D76/$C76))</f>
        <v>-4.1875714285714283</v>
      </c>
      <c r="J76">
        <f>+-IF($D76&lt;=(-SUM($E76:I76)),0,($D76/$C76))</f>
        <v>-4.1875714285714283</v>
      </c>
      <c r="K76">
        <f>+-IF($D76&lt;=(-SUM($E76:J76)),0,($D76/$C76))</f>
        <v>-4.1875714285714283</v>
      </c>
    </row>
    <row r="77" spans="2:11" x14ac:dyDescent="0.15">
      <c r="B77" t="str">
        <f>+B27</f>
        <v>New Senior Unsecured Notes</v>
      </c>
      <c r="C77">
        <f>+F27</f>
        <v>8</v>
      </c>
      <c r="D77">
        <f>+I27</f>
        <v>0</v>
      </c>
      <c r="G77">
        <f>+-IF($D77&lt;=(-SUM($E77:F77)),0,($D77/$C77))</f>
        <v>0</v>
      </c>
      <c r="H77">
        <f>+-IF($D77&lt;=(-SUM($E77:G77)),0,($D77/$C77))</f>
        <v>0</v>
      </c>
      <c r="I77">
        <f>+-IF($D77&lt;=(-SUM($E77:H77)),0,($D77/$C77))</f>
        <v>0</v>
      </c>
      <c r="J77">
        <f>+-IF($D77&lt;=(-SUM($E77:I77)),0,($D77/$C77))</f>
        <v>0</v>
      </c>
      <c r="K77">
        <f>+-IF($D77&lt;=(-SUM($E77:J77)),0,($D77/$C77))</f>
        <v>0</v>
      </c>
    </row>
    <row r="78" spans="2:11" x14ac:dyDescent="0.15">
      <c r="B78" t="s">
        <v>105</v>
      </c>
      <c r="D78">
        <f>SUM(D75:D77)</f>
        <v>29.312999999999999</v>
      </c>
      <c r="G78">
        <f>SUM(G75:G77)</f>
        <v>-4.1875714285714283</v>
      </c>
      <c r="H78">
        <f>SUM(H75:H77)</f>
        <v>-4.1875714285714283</v>
      </c>
      <c r="I78">
        <f>SUM(I75:I77)</f>
        <v>-4.1875714285714283</v>
      </c>
      <c r="J78">
        <f>SUM(J75:J77)</f>
        <v>-4.1875714285714283</v>
      </c>
      <c r="K78">
        <f>SUM(K75:K77)</f>
        <v>-4.1875714285714283</v>
      </c>
    </row>
    <row r="80" spans="2:11" x14ac:dyDescent="0.15">
      <c r="B80" t="s">
        <v>106</v>
      </c>
      <c r="C80" t="s">
        <v>66</v>
      </c>
      <c r="D80" t="s">
        <v>71</v>
      </c>
    </row>
    <row r="81" spans="2:11" x14ac:dyDescent="0.15">
      <c r="B81" t="str">
        <f>+B25</f>
        <v>New Revolving Credit Facility ($300)</v>
      </c>
      <c r="C81">
        <f>+F25</f>
        <v>5</v>
      </c>
      <c r="D81">
        <f>+K25</f>
        <v>3.75</v>
      </c>
      <c r="G81">
        <f>+-IF($D81&lt;=(-SUM($E81:F81)),0,($D81/$C81))</f>
        <v>-0.75</v>
      </c>
      <c r="H81">
        <f>+-IF($D81&lt;=(-SUM($E81:G81)),0,($D81/$C81))</f>
        <v>-0.75</v>
      </c>
      <c r="I81">
        <f>+-IF($D81&lt;=(-SUM($E81:H81)),0,($D81/$C81))</f>
        <v>-0.75</v>
      </c>
      <c r="J81">
        <f>+-IF($D81&lt;=(-SUM($E81:I81)),0,($D81/$C81))</f>
        <v>-0.75</v>
      </c>
      <c r="K81">
        <f>+-IF($D81&lt;=(-SUM($E81:J81)),0,($D81/$C81))</f>
        <v>-0.75</v>
      </c>
    </row>
    <row r="82" spans="2:11" x14ac:dyDescent="0.15">
      <c r="B82" t="str">
        <f>+B26</f>
        <v>New First Lien Term Loan</v>
      </c>
      <c r="C82">
        <f>+F26</f>
        <v>7</v>
      </c>
      <c r="D82">
        <f>+K26</f>
        <v>65.954249999999988</v>
      </c>
      <c r="G82">
        <f>+-IF($D82&lt;=(-SUM($E82:F82)),0,($D82/$C82))</f>
        <v>-9.4220357142857125</v>
      </c>
      <c r="H82">
        <f>+-IF($D82&lt;=(-SUM($E82:G82)),0,($D82/$C82))</f>
        <v>-9.4220357142857125</v>
      </c>
      <c r="I82">
        <f>+-IF($D82&lt;=(-SUM($E82:H82)),0,($D82/$C82))</f>
        <v>-9.4220357142857125</v>
      </c>
      <c r="J82">
        <f>+-IF($D82&lt;=(-SUM($E82:I82)),0,($D82/$C82))</f>
        <v>-9.4220357142857125</v>
      </c>
      <c r="K82">
        <f>+-IF($D82&lt;=(-SUM($E82:J82)),0,($D82/$C82))</f>
        <v>-9.4220357142857125</v>
      </c>
    </row>
    <row r="83" spans="2:11" x14ac:dyDescent="0.15">
      <c r="B83" t="str">
        <f>+B27</f>
        <v>New Senior Unsecured Notes</v>
      </c>
      <c r="C83">
        <f>+F27</f>
        <v>8</v>
      </c>
      <c r="D83">
        <f>+K27</f>
        <v>10.65</v>
      </c>
      <c r="G83">
        <f>+-IF($D83&lt;=(-SUM($E83:F83)),0,($D83/$C83))</f>
        <v>-1.33125</v>
      </c>
      <c r="H83">
        <f>+-IF($D83&lt;=(-SUM($E83:G83)),0,($D83/$C83))</f>
        <v>-1.33125</v>
      </c>
      <c r="I83">
        <f>+-IF($D83&lt;=(-SUM($E83:H83)),0,($D83/$C83))</f>
        <v>-1.33125</v>
      </c>
      <c r="J83">
        <f>+-IF($D83&lt;=(-SUM($E83:I83)),0,($D83/$C83))</f>
        <v>-1.33125</v>
      </c>
      <c r="K83">
        <f>+-IF($D83&lt;=(-SUM($E83:J83)),0,($D83/$C83))</f>
        <v>-1.33125</v>
      </c>
    </row>
    <row r="84" spans="2:11" x14ac:dyDescent="0.15">
      <c r="B84" t="s">
        <v>107</v>
      </c>
      <c r="D84">
        <f>SUM(D81:D83)</f>
        <v>80.354249999999993</v>
      </c>
      <c r="G84">
        <f>SUM(G81:G83)</f>
        <v>-11.503285714285713</v>
      </c>
      <c r="H84">
        <f>SUM(H81:H83)</f>
        <v>-11.503285714285713</v>
      </c>
      <c r="I84">
        <f>SUM(I81:I83)</f>
        <v>-11.503285714285713</v>
      </c>
      <c r="J84">
        <f>SUM(J81:J83)</f>
        <v>-11.503285714285713</v>
      </c>
      <c r="K84">
        <f>SUM(K81:K83)</f>
        <v>-11.503285714285713</v>
      </c>
    </row>
    <row r="86" spans="2:11" x14ac:dyDescent="0.15">
      <c r="B86" t="s">
        <v>86</v>
      </c>
    </row>
    <row r="88" spans="2:11" x14ac:dyDescent="0.15">
      <c r="C88" t="str">
        <f>""</f>
        <v/>
      </c>
      <c r="D88" t="str">
        <f>D$2&amp;D$3</f>
        <v>2023A</v>
      </c>
      <c r="E88" t="s">
        <v>243</v>
      </c>
      <c r="F88" t="s">
        <v>398</v>
      </c>
      <c r="G88" t="s">
        <v>245</v>
      </c>
      <c r="H88" t="s">
        <v>246</v>
      </c>
      <c r="I88" t="s">
        <v>247</v>
      </c>
      <c r="J88" t="s">
        <v>248</v>
      </c>
      <c r="K88" t="s">
        <v>249</v>
      </c>
    </row>
    <row r="89" spans="2:11" x14ac:dyDescent="0.15">
      <c r="B89" t="s">
        <v>108</v>
      </c>
      <c r="D89">
        <f>'5% Downside - Revenue Build'!B5</f>
        <v>1598.1</v>
      </c>
      <c r="E89">
        <f>'5% Downside - Revenue Build'!C5</f>
        <v>1577.3</v>
      </c>
      <c r="F89">
        <f>'5% Downside - Revenue Build'!D5</f>
        <v>1716.2</v>
      </c>
      <c r="G89">
        <f>'5% Downside - Revenue Build'!E5*(1+G45)</f>
        <v>2035.95</v>
      </c>
      <c r="H89">
        <f t="shared" ref="H89:K90" si="4">G89*(1+H45)</f>
        <v>2137.7474999999999</v>
      </c>
      <c r="I89">
        <f t="shared" si="4"/>
        <v>2244.6348750000002</v>
      </c>
      <c r="J89">
        <f t="shared" si="4"/>
        <v>2356.8666187500003</v>
      </c>
      <c r="K89">
        <f t="shared" si="4"/>
        <v>2474.7099496875003</v>
      </c>
    </row>
    <row r="90" spans="2:11" x14ac:dyDescent="0.15">
      <c r="B90" t="s">
        <v>109</v>
      </c>
      <c r="D90">
        <f>'5% Downside - Revenue Build'!B6</f>
        <v>1941.9</v>
      </c>
      <c r="E90">
        <f>'5% Downside - Revenue Build'!C6</f>
        <v>1916.7</v>
      </c>
      <c r="F90">
        <f>'5% Downside - Revenue Build'!D6</f>
        <v>2082</v>
      </c>
      <c r="G90">
        <f>'5% Downside - Revenue Build'!E6*(1+G46)</f>
        <v>2192.9250000000002</v>
      </c>
      <c r="H90">
        <f t="shared" si="4"/>
        <v>2302.5712500000004</v>
      </c>
      <c r="I90">
        <f t="shared" si="4"/>
        <v>2417.6998125000005</v>
      </c>
      <c r="J90">
        <f t="shared" si="4"/>
        <v>2538.5848031250007</v>
      </c>
      <c r="K90">
        <f t="shared" si="4"/>
        <v>2665.5140432812509</v>
      </c>
    </row>
    <row r="91" spans="2:11" x14ac:dyDescent="0.15">
      <c r="B91" t="s">
        <v>110</v>
      </c>
      <c r="D91">
        <f>0</f>
        <v>0</v>
      </c>
      <c r="E91">
        <f>0</f>
        <v>0</v>
      </c>
      <c r="F91">
        <f>0</f>
        <v>0</v>
      </c>
      <c r="G91">
        <v>0</v>
      </c>
      <c r="H91">
        <v>0</v>
      </c>
      <c r="I91">
        <v>0</v>
      </c>
      <c r="J91">
        <v>0</v>
      </c>
      <c r="K91">
        <v>0</v>
      </c>
    </row>
    <row r="92" spans="2:11" x14ac:dyDescent="0.15">
      <c r="B92" t="s">
        <v>111</v>
      </c>
      <c r="C92" t="str">
        <f>""</f>
        <v/>
      </c>
      <c r="D92">
        <f t="shared" ref="D92:K92" si="5">SUM(D89:D91)</f>
        <v>3540</v>
      </c>
      <c r="E92">
        <f t="shared" si="5"/>
        <v>3494</v>
      </c>
      <c r="F92">
        <f t="shared" si="5"/>
        <v>3798.2</v>
      </c>
      <c r="G92">
        <f t="shared" si="5"/>
        <v>4228.875</v>
      </c>
      <c r="H92">
        <f t="shared" si="5"/>
        <v>4440.3187500000004</v>
      </c>
      <c r="I92">
        <f t="shared" si="5"/>
        <v>4662.3346875000007</v>
      </c>
      <c r="J92">
        <f t="shared" si="5"/>
        <v>4895.451421875001</v>
      </c>
      <c r="K92">
        <f t="shared" si="5"/>
        <v>5140.2239929687512</v>
      </c>
    </row>
    <row r="93" spans="2:11" x14ac:dyDescent="0.15">
      <c r="B93" t="s">
        <v>112</v>
      </c>
      <c r="C93" t="str">
        <f>""</f>
        <v/>
      </c>
      <c r="D93" t="str">
        <f>""</f>
        <v/>
      </c>
      <c r="E93">
        <f>IFERROR(E92/D92-1,0)</f>
        <v>-1.2994350282485856E-2</v>
      </c>
      <c r="F93">
        <v>3.8961038961038898E-2</v>
      </c>
      <c r="G93">
        <v>4.4999999999999901E-2</v>
      </c>
      <c r="H93">
        <v>4.4999999999999901E-2</v>
      </c>
      <c r="I93">
        <v>4.4999999999999901E-2</v>
      </c>
      <c r="J93">
        <v>4.4999999999999901E-2</v>
      </c>
      <c r="K93">
        <v>4.4999999999999901E-2</v>
      </c>
    </row>
    <row r="94" spans="2:11" x14ac:dyDescent="0.15">
      <c r="G94">
        <f>G92/'5% Downside - Revenue Build'!E8-1</f>
        <v>5.0000000000000044E-2</v>
      </c>
      <c r="H94">
        <f>H92/G92-1</f>
        <v>5.0000000000000044E-2</v>
      </c>
      <c r="I94">
        <f>I92/H92-1</f>
        <v>5.0000000000000044E-2</v>
      </c>
      <c r="J94">
        <f>J92/I92-1</f>
        <v>5.0000000000000044E-2</v>
      </c>
      <c r="K94">
        <f>K92/J92-1</f>
        <v>5.0000000000000044E-2</v>
      </c>
    </row>
    <row r="95" spans="2:11" x14ac:dyDescent="0.15">
      <c r="B95" t="s">
        <v>113</v>
      </c>
      <c r="D95">
        <f>-D92*(1-D50)</f>
        <v>-2301</v>
      </c>
      <c r="E95">
        <f>-E92*(1-E50)</f>
        <v>-2271.1</v>
      </c>
      <c r="F95">
        <f>-F92*(1-F50)</f>
        <v>-2463.6000000000017</v>
      </c>
      <c r="G95">
        <f>+G$92*(1-G50)*-1</f>
        <v>-2727.6243749999999</v>
      </c>
      <c r="H95">
        <f>+H$92*(1-H50)*-1</f>
        <v>-2841.8040000000001</v>
      </c>
      <c r="I95">
        <f>+I$92*(1-I50)*-1</f>
        <v>-2983.8942000000006</v>
      </c>
      <c r="J95">
        <f>+J$92*(1-J50)*-1</f>
        <v>-3133.0889100000009</v>
      </c>
      <c r="K95">
        <f>+K$92*(1-K50)*-1</f>
        <v>-3289.7433555000007</v>
      </c>
    </row>
    <row r="96" spans="2:11" x14ac:dyDescent="0.15">
      <c r="B96" t="s">
        <v>114</v>
      </c>
      <c r="C96" t="str">
        <f>""</f>
        <v/>
      </c>
      <c r="D96">
        <f t="shared" ref="D96:K96" si="6">D92+D95</f>
        <v>1239</v>
      </c>
      <c r="E96">
        <f t="shared" si="6"/>
        <v>1222.9000000000001</v>
      </c>
      <c r="F96">
        <f t="shared" si="6"/>
        <v>1334.5999999999981</v>
      </c>
      <c r="G96">
        <f t="shared" si="6"/>
        <v>1501.2506250000001</v>
      </c>
      <c r="H96">
        <f t="shared" si="6"/>
        <v>1598.5147500000003</v>
      </c>
      <c r="I96">
        <f t="shared" si="6"/>
        <v>1678.4404875</v>
      </c>
      <c r="J96">
        <f t="shared" si="6"/>
        <v>1762.3625118750001</v>
      </c>
      <c r="K96">
        <f t="shared" si="6"/>
        <v>1850.4806374687505</v>
      </c>
    </row>
    <row r="97" spans="2:11" x14ac:dyDescent="0.15">
      <c r="B97" t="s">
        <v>115</v>
      </c>
      <c r="C97" t="str">
        <f>""</f>
        <v/>
      </c>
      <c r="D97">
        <f t="shared" ref="D97:K97" si="7">IFERROR(D96/D92,0)</f>
        <v>0.35</v>
      </c>
      <c r="E97">
        <f t="shared" si="7"/>
        <v>0.35000000000000003</v>
      </c>
      <c r="F97">
        <f t="shared" si="7"/>
        <v>0.35137696803749097</v>
      </c>
      <c r="G97">
        <f t="shared" si="7"/>
        <v>0.35500000000000004</v>
      </c>
      <c r="H97">
        <f t="shared" si="7"/>
        <v>0.36000000000000004</v>
      </c>
      <c r="I97">
        <f t="shared" si="7"/>
        <v>0.35999999999999993</v>
      </c>
      <c r="J97">
        <f t="shared" si="7"/>
        <v>0.35999999999999993</v>
      </c>
      <c r="K97">
        <f t="shared" si="7"/>
        <v>0.36</v>
      </c>
    </row>
    <row r="99" spans="2:11" x14ac:dyDescent="0.15">
      <c r="B99" t="s">
        <v>116</v>
      </c>
      <c r="D99">
        <f>-D92*D52</f>
        <v>-918.99999999999898</v>
      </c>
      <c r="E99">
        <f>-E92*E52</f>
        <v>-913.99999999999932</v>
      </c>
      <c r="F99">
        <f>-F92*F52</f>
        <v>-1000.4000000000016</v>
      </c>
      <c r="G99">
        <f>+G$92*G52*-1</f>
        <v>-989.55674999999997</v>
      </c>
      <c r="H99">
        <f>+H$92*H52*-1</f>
        <v>-994.63139999999999</v>
      </c>
      <c r="I99">
        <f>+I$92*I52*-1</f>
        <v>-1039.7006353125</v>
      </c>
      <c r="J99">
        <f>+J$92*J52*-1</f>
        <v>-1086.79021565625</v>
      </c>
      <c r="K99">
        <f>+K$92*K52*-1</f>
        <v>-1130.8492784531252</v>
      </c>
    </row>
    <row r="100" spans="2:11" x14ac:dyDescent="0.15">
      <c r="B100" t="s">
        <v>117</v>
      </c>
      <c r="C100" t="str">
        <f>""</f>
        <v/>
      </c>
      <c r="D100">
        <v>0</v>
      </c>
      <c r="E100">
        <v>0</v>
      </c>
      <c r="F100">
        <v>0</v>
      </c>
      <c r="G100">
        <f>+G78</f>
        <v>-4.1875714285714283</v>
      </c>
      <c r="H100">
        <f>+H78</f>
        <v>-4.1875714285714283</v>
      </c>
      <c r="I100">
        <f>+I78</f>
        <v>-4.1875714285714283</v>
      </c>
      <c r="J100">
        <f>+J78</f>
        <v>-4.1875714285714283</v>
      </c>
      <c r="K100">
        <f>+K78</f>
        <v>-4.1875714285714283</v>
      </c>
    </row>
    <row r="101" spans="2:11" x14ac:dyDescent="0.15">
      <c r="B101" t="s">
        <v>118</v>
      </c>
      <c r="C101" t="str">
        <f>""</f>
        <v/>
      </c>
      <c r="D101">
        <v>0</v>
      </c>
      <c r="E101">
        <v>0</v>
      </c>
      <c r="F101">
        <v>0</v>
      </c>
      <c r="G101">
        <f>+G84</f>
        <v>-11.503285714285713</v>
      </c>
      <c r="H101">
        <f>+H84</f>
        <v>-11.503285714285713</v>
      </c>
      <c r="I101">
        <f>+I84</f>
        <v>-11.503285714285713</v>
      </c>
      <c r="J101">
        <f>+J84</f>
        <v>-11.503285714285713</v>
      </c>
      <c r="K101">
        <f>+K84</f>
        <v>-11.503285714285713</v>
      </c>
    </row>
    <row r="102" spans="2:11" x14ac:dyDescent="0.15">
      <c r="B102" t="s">
        <v>119</v>
      </c>
      <c r="C102" t="str">
        <f>""</f>
        <v/>
      </c>
      <c r="D102">
        <f t="shared" ref="D102:K102" si="8">D96+SUM(D99:D101)</f>
        <v>320.00000000000102</v>
      </c>
      <c r="E102">
        <f t="shared" si="8"/>
        <v>308.90000000000077</v>
      </c>
      <c r="F102">
        <f t="shared" si="8"/>
        <v>334.19999999999652</v>
      </c>
      <c r="G102">
        <f t="shared" si="8"/>
        <v>496.00301785714294</v>
      </c>
      <c r="H102">
        <f t="shared" si="8"/>
        <v>588.19249285714307</v>
      </c>
      <c r="I102">
        <f t="shared" si="8"/>
        <v>623.04899504464288</v>
      </c>
      <c r="J102">
        <f t="shared" si="8"/>
        <v>659.88143907589301</v>
      </c>
      <c r="K102">
        <f t="shared" si="8"/>
        <v>703.94050187276821</v>
      </c>
    </row>
    <row r="103" spans="2:11" x14ac:dyDescent="0.15">
      <c r="B103" t="s">
        <v>115</v>
      </c>
      <c r="C103" t="str">
        <f>""</f>
        <v/>
      </c>
      <c r="D103">
        <f t="shared" ref="D103:K103" si="9">IFERROR(D102/D92,0)</f>
        <v>9.0395480225988992E-2</v>
      </c>
      <c r="E103">
        <f t="shared" si="9"/>
        <v>8.8408700629651046E-2</v>
      </c>
      <c r="F103">
        <f t="shared" si="9"/>
        <v>8.7989047443524968E-2</v>
      </c>
      <c r="G103">
        <f t="shared" si="9"/>
        <v>0.11728959069661386</v>
      </c>
      <c r="H103">
        <f t="shared" si="9"/>
        <v>0.13246627685391799</v>
      </c>
      <c r="I103">
        <f t="shared" si="9"/>
        <v>0.13363454938468375</v>
      </c>
      <c r="J103">
        <f t="shared" si="9"/>
        <v>0.13479480893779405</v>
      </c>
      <c r="K103">
        <f t="shared" si="9"/>
        <v>0.13694743708361343</v>
      </c>
    </row>
    <row r="105" spans="2:11" x14ac:dyDescent="0.15">
      <c r="B105" t="s">
        <v>120</v>
      </c>
      <c r="D105">
        <v>-40</v>
      </c>
      <c r="E105">
        <v>-68.599999999999994</v>
      </c>
      <c r="F105">
        <v>-103.3</v>
      </c>
      <c r="G105">
        <f>-((F157+G163/2)*(D175/10000+MAX($G$10,AVERAGE(F69,G69)))+G8*G9+F158*D176)</f>
        <v>-254.352381675</v>
      </c>
      <c r="H105">
        <f>-((G157+H163/2)*(D175/10000+MAX($G$10,AVERAGE(G69,H69)))+G8*G9+G158*D176)</f>
        <v>-231.52667991969753</v>
      </c>
      <c r="I105">
        <f>-((H157+I163/2)*(D175/10000+MAX($G$10,AVERAGE(H69,I69)))+G8*G9+H158*D176)</f>
        <v>-200.55857052993943</v>
      </c>
      <c r="J105">
        <f>-((I157+J163/2)*(D175/10000+MAX($G$10,AVERAGE(I69,J69)))+G8*G9+I158*D176)</f>
        <v>-166.19736361250327</v>
      </c>
      <c r="K105">
        <f>-((J157+K163/2)*(D175/10000+MAX($G$10,AVERAGE(J69,K69)))+G8*G9+J158*D176)</f>
        <v>-127.16400561886742</v>
      </c>
    </row>
    <row r="106" spans="2:11" x14ac:dyDescent="0.15">
      <c r="B106" t="s">
        <v>121</v>
      </c>
      <c r="C106" t="str">
        <f>""</f>
        <v/>
      </c>
      <c r="D106">
        <f t="shared" ref="D106:K106" si="10">D102+D105</f>
        <v>280.00000000000102</v>
      </c>
      <c r="E106">
        <f t="shared" si="10"/>
        <v>240.30000000000078</v>
      </c>
      <c r="F106">
        <f t="shared" si="10"/>
        <v>230.89999999999651</v>
      </c>
      <c r="G106">
        <f t="shared" si="10"/>
        <v>241.65063618214293</v>
      </c>
      <c r="H106">
        <f t="shared" si="10"/>
        <v>356.66581293744554</v>
      </c>
      <c r="I106">
        <f t="shared" si="10"/>
        <v>422.49042451470348</v>
      </c>
      <c r="J106">
        <f t="shared" si="10"/>
        <v>493.68407546338972</v>
      </c>
      <c r="K106">
        <f t="shared" si="10"/>
        <v>576.77649625390075</v>
      </c>
    </row>
    <row r="108" spans="2:11" x14ac:dyDescent="0.15">
      <c r="B108" t="s">
        <v>122</v>
      </c>
      <c r="D108">
        <f t="shared" ref="D108:K108" si="11">IF(D106&gt;0,-D106*$G$16,0)</f>
        <v>-70.000000000000256</v>
      </c>
      <c r="E108">
        <f t="shared" si="11"/>
        <v>-60.075000000000195</v>
      </c>
      <c r="F108">
        <f t="shared" si="11"/>
        <v>-57.724999999999127</v>
      </c>
      <c r="G108">
        <f t="shared" si="11"/>
        <v>-60.412659045535733</v>
      </c>
      <c r="H108">
        <f t="shared" si="11"/>
        <v>-89.166453234361384</v>
      </c>
      <c r="I108">
        <f t="shared" si="11"/>
        <v>-105.62260612867587</v>
      </c>
      <c r="J108">
        <f t="shared" si="11"/>
        <v>-123.42101886584743</v>
      </c>
      <c r="K108">
        <f t="shared" si="11"/>
        <v>-144.19412406347519</v>
      </c>
    </row>
    <row r="109" spans="2:11" x14ac:dyDescent="0.15">
      <c r="B109" t="s">
        <v>123</v>
      </c>
      <c r="C109" t="str">
        <f>""</f>
        <v/>
      </c>
      <c r="D109">
        <f t="shared" ref="D109:K109" si="12">D106+D108</f>
        <v>210.00000000000077</v>
      </c>
      <c r="E109">
        <f t="shared" si="12"/>
        <v>180.22500000000059</v>
      </c>
      <c r="F109">
        <f t="shared" si="12"/>
        <v>173.1749999999974</v>
      </c>
      <c r="G109">
        <f t="shared" si="12"/>
        <v>181.23797713660719</v>
      </c>
      <c r="H109">
        <f t="shared" si="12"/>
        <v>267.49935970308417</v>
      </c>
      <c r="I109">
        <f t="shared" si="12"/>
        <v>316.86781838602758</v>
      </c>
      <c r="J109">
        <f t="shared" si="12"/>
        <v>370.26305659754229</v>
      </c>
      <c r="K109">
        <f t="shared" si="12"/>
        <v>432.58237219042553</v>
      </c>
    </row>
    <row r="110" spans="2:11" x14ac:dyDescent="0.15">
      <c r="B110" t="s">
        <v>115</v>
      </c>
      <c r="C110" t="str">
        <f>""</f>
        <v/>
      </c>
      <c r="D110">
        <f t="shared" ref="D110:K110" si="13">IFERROR(D109/D92,0)</f>
        <v>5.9322033898305301E-2</v>
      </c>
      <c r="E110">
        <f t="shared" si="13"/>
        <v>5.1581282198053975E-2</v>
      </c>
      <c r="F110">
        <f t="shared" si="13"/>
        <v>4.5593965562634252E-2</v>
      </c>
      <c r="G110">
        <f t="shared" si="13"/>
        <v>4.2857255685402662E-2</v>
      </c>
      <c r="H110">
        <f t="shared" si="13"/>
        <v>6.0243278639193223E-2</v>
      </c>
      <c r="I110">
        <f t="shared" si="13"/>
        <v>6.7963335887397627E-2</v>
      </c>
      <c r="J110">
        <f t="shared" si="13"/>
        <v>7.5634098817332004E-2</v>
      </c>
      <c r="K110">
        <f t="shared" si="13"/>
        <v>8.4156327191606747E-2</v>
      </c>
    </row>
    <row r="112" spans="2:11" x14ac:dyDescent="0.15">
      <c r="B112" t="s">
        <v>124</v>
      </c>
      <c r="C112" t="str">
        <f>""</f>
        <v/>
      </c>
      <c r="D112">
        <f t="shared" ref="D112:K112" si="14">-D105</f>
        <v>40</v>
      </c>
      <c r="E112">
        <f t="shared" si="14"/>
        <v>68.599999999999994</v>
      </c>
      <c r="F112">
        <f t="shared" si="14"/>
        <v>103.3</v>
      </c>
      <c r="G112">
        <f t="shared" si="14"/>
        <v>254.352381675</v>
      </c>
      <c r="H112">
        <f t="shared" si="14"/>
        <v>231.52667991969753</v>
      </c>
      <c r="I112">
        <f t="shared" si="14"/>
        <v>200.55857052993943</v>
      </c>
      <c r="J112">
        <f t="shared" si="14"/>
        <v>166.19736361250327</v>
      </c>
      <c r="K112">
        <f t="shared" si="14"/>
        <v>127.16400561886742</v>
      </c>
    </row>
    <row r="113" spans="2:11" x14ac:dyDescent="0.15">
      <c r="B113" t="s">
        <v>125</v>
      </c>
      <c r="C113" t="str">
        <f>""</f>
        <v/>
      </c>
      <c r="D113">
        <f t="shared" ref="D113:K113" si="15">-D108</f>
        <v>70.000000000000256</v>
      </c>
      <c r="E113">
        <f t="shared" si="15"/>
        <v>60.075000000000195</v>
      </c>
      <c r="F113">
        <f t="shared" si="15"/>
        <v>57.724999999999127</v>
      </c>
      <c r="G113">
        <f t="shared" si="15"/>
        <v>60.412659045535733</v>
      </c>
      <c r="H113">
        <f t="shared" si="15"/>
        <v>89.166453234361384</v>
      </c>
      <c r="I113">
        <f t="shared" si="15"/>
        <v>105.62260612867587</v>
      </c>
      <c r="J113">
        <f t="shared" si="15"/>
        <v>123.42101886584743</v>
      </c>
      <c r="K113">
        <f t="shared" si="15"/>
        <v>144.19412406347519</v>
      </c>
    </row>
    <row r="114" spans="2:11" x14ac:dyDescent="0.15">
      <c r="B114" t="s">
        <v>126</v>
      </c>
      <c r="D114">
        <v>95</v>
      </c>
      <c r="E114">
        <v>85</v>
      </c>
      <c r="F114">
        <v>125</v>
      </c>
      <c r="G114">
        <f>G92*G58</f>
        <v>105.72187500000001</v>
      </c>
      <c r="H114">
        <f>H92*H58</f>
        <v>111.00796875000002</v>
      </c>
      <c r="I114">
        <f>I92*I58</f>
        <v>116.55836718750002</v>
      </c>
      <c r="J114">
        <f>J92*J58</f>
        <v>122.38628554687503</v>
      </c>
      <c r="K114">
        <f>K92*K58</f>
        <v>128.50559982421879</v>
      </c>
    </row>
    <row r="115" spans="2:11" x14ac:dyDescent="0.15">
      <c r="B115" t="s">
        <v>127</v>
      </c>
      <c r="D115">
        <v>95</v>
      </c>
      <c r="E115">
        <v>85.1</v>
      </c>
      <c r="F115">
        <v>141.19999999999999</v>
      </c>
      <c r="G115">
        <f>G92*G59</f>
        <v>169.155</v>
      </c>
      <c r="H115">
        <f>H92*H59</f>
        <v>173.17243125000002</v>
      </c>
      <c r="I115">
        <f>I92*I59</f>
        <v>177.16871812500003</v>
      </c>
      <c r="J115">
        <f>J92*J59</f>
        <v>181.13170260937503</v>
      </c>
      <c r="K115">
        <f>K92*K59</f>
        <v>179.9078397539063</v>
      </c>
    </row>
    <row r="116" spans="2:11" x14ac:dyDescent="0.15">
      <c r="B116" t="s">
        <v>128</v>
      </c>
      <c r="C116" t="str">
        <f>""</f>
        <v/>
      </c>
      <c r="D116">
        <f t="shared" ref="D116:K117" si="16">-D100</f>
        <v>0</v>
      </c>
      <c r="E116">
        <f t="shared" si="16"/>
        <v>0</v>
      </c>
      <c r="F116">
        <f t="shared" si="16"/>
        <v>0</v>
      </c>
      <c r="G116">
        <f t="shared" si="16"/>
        <v>4.1875714285714283</v>
      </c>
      <c r="H116">
        <f t="shared" si="16"/>
        <v>4.1875714285714283</v>
      </c>
      <c r="I116">
        <f t="shared" si="16"/>
        <v>4.1875714285714283</v>
      </c>
      <c r="J116">
        <f t="shared" si="16"/>
        <v>4.1875714285714283</v>
      </c>
      <c r="K116">
        <f t="shared" si="16"/>
        <v>4.1875714285714283</v>
      </c>
    </row>
    <row r="117" spans="2:11" x14ac:dyDescent="0.15">
      <c r="B117" t="s">
        <v>129</v>
      </c>
      <c r="C117" t="str">
        <f>""</f>
        <v/>
      </c>
      <c r="D117">
        <f t="shared" si="16"/>
        <v>0</v>
      </c>
      <c r="E117">
        <f t="shared" si="16"/>
        <v>0</v>
      </c>
      <c r="F117">
        <f t="shared" si="16"/>
        <v>0</v>
      </c>
      <c r="G117">
        <f t="shared" si="16"/>
        <v>11.503285714285713</v>
      </c>
      <c r="H117">
        <f t="shared" si="16"/>
        <v>11.503285714285713</v>
      </c>
      <c r="I117">
        <f t="shared" si="16"/>
        <v>11.503285714285713</v>
      </c>
      <c r="J117">
        <f t="shared" si="16"/>
        <v>11.503285714285713</v>
      </c>
      <c r="K117">
        <f t="shared" si="16"/>
        <v>11.503285714285713</v>
      </c>
    </row>
    <row r="118" spans="2:11" x14ac:dyDescent="0.15">
      <c r="B118" t="s">
        <v>130</v>
      </c>
      <c r="C118" t="str">
        <f>""</f>
        <v/>
      </c>
      <c r="D118">
        <f t="shared" ref="D118:K118" si="17">D109+SUM(D112:D117)</f>
        <v>510.00000000000102</v>
      </c>
      <c r="E118">
        <f t="shared" si="17"/>
        <v>479.0000000000008</v>
      </c>
      <c r="F118">
        <f t="shared" si="17"/>
        <v>600.39999999999645</v>
      </c>
      <c r="G118">
        <f t="shared" si="17"/>
        <v>786.57075000000009</v>
      </c>
      <c r="H118">
        <f t="shared" si="17"/>
        <v>888.06375000000025</v>
      </c>
      <c r="I118">
        <f t="shared" si="17"/>
        <v>932.4669375000002</v>
      </c>
      <c r="J118">
        <f t="shared" si="17"/>
        <v>979.09028437500024</v>
      </c>
      <c r="K118">
        <f t="shared" si="17"/>
        <v>1028.0447985937503</v>
      </c>
    </row>
    <row r="119" spans="2:11" x14ac:dyDescent="0.15">
      <c r="B119" t="s">
        <v>115</v>
      </c>
      <c r="C119" t="str">
        <f>""</f>
        <v/>
      </c>
      <c r="D119">
        <f t="shared" ref="D119:K119" si="18">IFERROR(D118/D92,0)</f>
        <v>0.14406779661016977</v>
      </c>
      <c r="E119">
        <f t="shared" si="18"/>
        <v>0.13709215798511756</v>
      </c>
      <c r="F119">
        <f t="shared" si="18"/>
        <v>0.15807487757358657</v>
      </c>
      <c r="G119">
        <f t="shared" si="18"/>
        <v>0.18600000000000003</v>
      </c>
      <c r="H119">
        <f t="shared" si="18"/>
        <v>0.20000000000000004</v>
      </c>
      <c r="I119">
        <f t="shared" si="18"/>
        <v>0.2</v>
      </c>
      <c r="J119">
        <f t="shared" si="18"/>
        <v>0.2</v>
      </c>
      <c r="K119">
        <f t="shared" si="18"/>
        <v>0.2</v>
      </c>
    </row>
    <row r="121" spans="2:11" x14ac:dyDescent="0.15">
      <c r="B121" t="s">
        <v>131</v>
      </c>
    </row>
    <row r="123" spans="2:11" x14ac:dyDescent="0.15">
      <c r="B123" t="s">
        <v>132</v>
      </c>
      <c r="G123" t="str">
        <f>G$2&amp;G$3</f>
        <v>2027E</v>
      </c>
      <c r="H123" t="str">
        <f>H$2&amp;H$3</f>
        <v>2028E</v>
      </c>
      <c r="I123" t="str">
        <f>I$2&amp;I$3</f>
        <v>2029E</v>
      </c>
      <c r="J123" t="str">
        <f>J$2&amp;J$3</f>
        <v>2030E</v>
      </c>
      <c r="K123" t="str">
        <f>K$2&amp;K$3</f>
        <v>2031E</v>
      </c>
    </row>
    <row r="124" spans="2:11" x14ac:dyDescent="0.15">
      <c r="B124" t="s">
        <v>123</v>
      </c>
      <c r="G124">
        <f>+G109</f>
        <v>181.23797713660719</v>
      </c>
      <c r="H124">
        <f>+H109</f>
        <v>267.49935970308417</v>
      </c>
      <c r="I124">
        <f>+I109</f>
        <v>316.86781838602758</v>
      </c>
      <c r="J124">
        <f>+J109</f>
        <v>370.26305659754229</v>
      </c>
      <c r="K124">
        <f>+K109</f>
        <v>432.58237219042553</v>
      </c>
    </row>
    <row r="125" spans="2:11" x14ac:dyDescent="0.15">
      <c r="B125" t="s">
        <v>126</v>
      </c>
      <c r="G125">
        <f t="shared" ref="G125:K126" si="19">G114</f>
        <v>105.72187500000001</v>
      </c>
      <c r="H125">
        <f t="shared" si="19"/>
        <v>111.00796875000002</v>
      </c>
      <c r="I125">
        <f t="shared" si="19"/>
        <v>116.55836718750002</v>
      </c>
      <c r="J125">
        <f t="shared" si="19"/>
        <v>122.38628554687503</v>
      </c>
      <c r="K125">
        <f t="shared" si="19"/>
        <v>128.50559982421879</v>
      </c>
    </row>
    <row r="126" spans="2:11" x14ac:dyDescent="0.15">
      <c r="B126" t="s">
        <v>127</v>
      </c>
      <c r="G126">
        <f t="shared" si="19"/>
        <v>169.155</v>
      </c>
      <c r="H126">
        <f t="shared" si="19"/>
        <v>173.17243125000002</v>
      </c>
      <c r="I126">
        <f t="shared" si="19"/>
        <v>177.16871812500003</v>
      </c>
      <c r="J126">
        <f t="shared" si="19"/>
        <v>181.13170260937503</v>
      </c>
      <c r="K126">
        <f t="shared" si="19"/>
        <v>179.9078397539063</v>
      </c>
    </row>
    <row r="127" spans="2:11" x14ac:dyDescent="0.15">
      <c r="B127" t="s">
        <v>128</v>
      </c>
      <c r="G127">
        <v>0.68571428571428605</v>
      </c>
      <c r="H127">
        <v>0.68571428571428605</v>
      </c>
      <c r="I127">
        <v>0.68571428571428605</v>
      </c>
      <c r="J127">
        <v>0.68571428571428605</v>
      </c>
      <c r="K127">
        <v>0.68571428571428605</v>
      </c>
    </row>
    <row r="128" spans="2:11" x14ac:dyDescent="0.15">
      <c r="B128" t="s">
        <v>129</v>
      </c>
      <c r="G128">
        <v>3.6241071428571399</v>
      </c>
      <c r="H128">
        <v>3.6241071428571399</v>
      </c>
      <c r="I128">
        <v>3.6241071428571399</v>
      </c>
      <c r="J128">
        <v>3.6241071428571399</v>
      </c>
      <c r="K128">
        <v>3.6241071428571399</v>
      </c>
    </row>
    <row r="129" spans="2:11" x14ac:dyDescent="0.15">
      <c r="B129" t="s">
        <v>133</v>
      </c>
      <c r="G129">
        <f>+-G151</f>
        <v>-27.993874999999974</v>
      </c>
      <c r="H129">
        <f>+-H151</f>
        <v>-13.743843750000053</v>
      </c>
      <c r="I129">
        <f>+-I151</f>
        <v>-14.431035937500042</v>
      </c>
      <c r="J129">
        <f>+-J151</f>
        <v>-15.152587734375004</v>
      </c>
      <c r="K129">
        <f>+-K151</f>
        <v>-15.910217121093751</v>
      </c>
    </row>
    <row r="130" spans="2:11" x14ac:dyDescent="0.15">
      <c r="B130" t="s">
        <v>134</v>
      </c>
      <c r="G130">
        <f>+-G147</f>
        <v>-126.86624999999999</v>
      </c>
      <c r="H130">
        <f>+-H147</f>
        <v>-133.2095625</v>
      </c>
      <c r="I130">
        <f>+-I147</f>
        <v>-139.870040625</v>
      </c>
      <c r="J130">
        <f>+-J147</f>
        <v>-146.86354265625002</v>
      </c>
      <c r="K130">
        <f>+-K147</f>
        <v>-154.20671978906253</v>
      </c>
    </row>
    <row r="131" spans="2:11" x14ac:dyDescent="0.15">
      <c r="B131" t="s">
        <v>135</v>
      </c>
      <c r="G131">
        <f>SUM(G124:G130)</f>
        <v>305.56454856517865</v>
      </c>
      <c r="H131">
        <f>SUM(H124:H130)</f>
        <v>409.03617488165554</v>
      </c>
      <c r="I131">
        <f>SUM(I124:I130)</f>
        <v>460.6036485645991</v>
      </c>
      <c r="J131">
        <f>SUM(J124:J130)</f>
        <v>516.0747357917387</v>
      </c>
      <c r="K131">
        <f>SUM(K124:K130)</f>
        <v>575.18869628696575</v>
      </c>
    </row>
    <row r="132" spans="2:11" x14ac:dyDescent="0.15">
      <c r="B132" t="s">
        <v>136</v>
      </c>
      <c r="G132">
        <f>G166</f>
        <v>0</v>
      </c>
      <c r="H132">
        <f>H166</f>
        <v>0</v>
      </c>
      <c r="I132">
        <f>I166</f>
        <v>0</v>
      </c>
      <c r="J132">
        <f>J166</f>
        <v>0</v>
      </c>
      <c r="K132">
        <f>K166</f>
        <v>0</v>
      </c>
    </row>
    <row r="133" spans="2:11" x14ac:dyDescent="0.15">
      <c r="B133" t="s">
        <v>137</v>
      </c>
      <c r="G133">
        <f>G165</f>
        <v>-29.312999999999999</v>
      </c>
      <c r="H133">
        <f>H165</f>
        <v>-29.312999999999999</v>
      </c>
      <c r="I133">
        <f>I165</f>
        <v>-29.312999999999999</v>
      </c>
      <c r="J133">
        <f>J165</f>
        <v>-29.312999999999999</v>
      </c>
      <c r="K133">
        <f>K165</f>
        <v>-29.312999999999999</v>
      </c>
    </row>
    <row r="134" spans="2:11" x14ac:dyDescent="0.15">
      <c r="B134" t="s">
        <v>138</v>
      </c>
      <c r="G134">
        <f>G171</f>
        <v>-276.25154856517867</v>
      </c>
      <c r="H134">
        <f>H171</f>
        <v>-379.72317488165555</v>
      </c>
      <c r="I134">
        <f>I171</f>
        <v>-431.29064856459911</v>
      </c>
      <c r="J134">
        <f>J171</f>
        <v>-486.76173579173872</v>
      </c>
      <c r="K134">
        <f>K171</f>
        <v>-545.87569628696576</v>
      </c>
    </row>
    <row r="135" spans="2:11" x14ac:dyDescent="0.15">
      <c r="B135" t="s">
        <v>139</v>
      </c>
      <c r="G135">
        <f>SUM(G131:G134)</f>
        <v>0</v>
      </c>
      <c r="H135">
        <f>SUM(H131:H134)</f>
        <v>0</v>
      </c>
      <c r="I135">
        <f>SUM(I131:I134)</f>
        <v>0</v>
      </c>
      <c r="J135">
        <f>SUM(J131:J134)</f>
        <v>0</v>
      </c>
      <c r="K135">
        <f>SUM(K131:K134)</f>
        <v>0</v>
      </c>
    </row>
    <row r="136" spans="2:11" x14ac:dyDescent="0.15">
      <c r="B136" t="s">
        <v>140</v>
      </c>
    </row>
    <row r="138" spans="2:11" x14ac:dyDescent="0.15">
      <c r="G138" t="str">
        <f>G$2&amp;G$3</f>
        <v>2027E</v>
      </c>
      <c r="H138" t="str">
        <f>H$2&amp;H$3</f>
        <v>2028E</v>
      </c>
      <c r="I138" t="str">
        <f>I$2&amp;I$3</f>
        <v>2029E</v>
      </c>
      <c r="J138" t="str">
        <f>J$2&amp;J$3</f>
        <v>2030E</v>
      </c>
      <c r="K138" t="str">
        <f>K$2&amp;K$3</f>
        <v>2031E</v>
      </c>
    </row>
    <row r="139" spans="2:11" x14ac:dyDescent="0.15">
      <c r="B139" t="s">
        <v>141</v>
      </c>
    </row>
    <row r="140" spans="2:11" x14ac:dyDescent="0.15">
      <c r="B140" t="s">
        <v>142</v>
      </c>
      <c r="G140">
        <f>F142</f>
        <v>50</v>
      </c>
      <c r="H140">
        <f>G142</f>
        <v>50</v>
      </c>
      <c r="I140">
        <f>H142</f>
        <v>50</v>
      </c>
      <c r="J140">
        <f>I142</f>
        <v>50</v>
      </c>
      <c r="K140">
        <f>J142</f>
        <v>50</v>
      </c>
    </row>
    <row r="141" spans="2:11" x14ac:dyDescent="0.15">
      <c r="B141" t="s">
        <v>143</v>
      </c>
      <c r="G141">
        <f>G135</f>
        <v>0</v>
      </c>
      <c r="H141">
        <f>H135</f>
        <v>0</v>
      </c>
      <c r="I141">
        <f>I135</f>
        <v>0</v>
      </c>
      <c r="J141">
        <f>J135</f>
        <v>0</v>
      </c>
      <c r="K141">
        <f>K135</f>
        <v>0</v>
      </c>
    </row>
    <row r="142" spans="2:11" x14ac:dyDescent="0.15">
      <c r="B142" t="s">
        <v>144</v>
      </c>
      <c r="F142">
        <f>$G$17</f>
        <v>50</v>
      </c>
      <c r="G142">
        <f>SUM(G140:G141)</f>
        <v>50</v>
      </c>
      <c r="H142">
        <f>SUM(H140:H141)</f>
        <v>50</v>
      </c>
      <c r="I142">
        <f>SUM(I140:I141)</f>
        <v>50</v>
      </c>
      <c r="J142">
        <f>SUM(J140:J141)</f>
        <v>50</v>
      </c>
      <c r="K142">
        <f>SUM(K140:K141)</f>
        <v>50</v>
      </c>
    </row>
    <row r="144" spans="2:11" x14ac:dyDescent="0.15">
      <c r="B144" t="s">
        <v>145</v>
      </c>
    </row>
    <row r="145" spans="2:11" x14ac:dyDescent="0.15">
      <c r="B145" t="s">
        <v>146</v>
      </c>
      <c r="D145">
        <v>65</v>
      </c>
      <c r="E145">
        <v>60</v>
      </c>
      <c r="F145">
        <v>51.8</v>
      </c>
      <c r="G145">
        <f>G92*G62</f>
        <v>63.433124999999997</v>
      </c>
      <c r="H145">
        <f>H92*H62</f>
        <v>66.604781250000002</v>
      </c>
      <c r="I145">
        <f>I92*I62</f>
        <v>69.935020312500001</v>
      </c>
      <c r="J145">
        <f>J92*J62</f>
        <v>73.431771328125009</v>
      </c>
      <c r="K145">
        <f>K92*K62</f>
        <v>77.103359894531266</v>
      </c>
    </row>
    <row r="146" spans="2:11" x14ac:dyDescent="0.15">
      <c r="B146" t="s">
        <v>147</v>
      </c>
      <c r="D146">
        <v>65</v>
      </c>
      <c r="E146">
        <v>60</v>
      </c>
      <c r="F146">
        <v>51.8</v>
      </c>
      <c r="G146">
        <f>G92*G63</f>
        <v>63.433124999999997</v>
      </c>
      <c r="H146">
        <f>H92*H63</f>
        <v>66.604781250000002</v>
      </c>
      <c r="I146">
        <f>I92*I63</f>
        <v>69.935020312500001</v>
      </c>
      <c r="J146">
        <f>J92*J63</f>
        <v>73.431771328125009</v>
      </c>
      <c r="K146">
        <f>K92*K63</f>
        <v>77.103359894531266</v>
      </c>
    </row>
    <row r="147" spans="2:11" x14ac:dyDescent="0.15">
      <c r="B147" t="s">
        <v>148</v>
      </c>
      <c r="C147" t="str">
        <f>""</f>
        <v/>
      </c>
      <c r="D147">
        <f>+SUM(D145:D146)</f>
        <v>130</v>
      </c>
      <c r="E147">
        <v>22</v>
      </c>
      <c r="F147">
        <v>23.5</v>
      </c>
      <c r="G147">
        <f>SUM(G145:G146)</f>
        <v>126.86624999999999</v>
      </c>
      <c r="H147">
        <f>SUM(H145:H146)</f>
        <v>133.2095625</v>
      </c>
      <c r="I147">
        <f>SUM(I145:I146)</f>
        <v>139.870040625</v>
      </c>
      <c r="J147">
        <f>SUM(J145:J146)</f>
        <v>146.86354265625002</v>
      </c>
      <c r="K147">
        <f>SUM(K145:K146)</f>
        <v>154.20671978906253</v>
      </c>
    </row>
    <row r="149" spans="2:11" x14ac:dyDescent="0.15">
      <c r="B149" t="s">
        <v>149</v>
      </c>
    </row>
    <row r="150" spans="2:11" x14ac:dyDescent="0.15">
      <c r="B150" t="s">
        <v>150</v>
      </c>
      <c r="D150">
        <f t="shared" ref="D150:K150" si="20">D92*D66</f>
        <v>230.1</v>
      </c>
      <c r="E150">
        <f t="shared" si="20"/>
        <v>227.11</v>
      </c>
      <c r="F150">
        <f t="shared" si="20"/>
        <v>246.88300000000001</v>
      </c>
      <c r="G150">
        <f t="shared" si="20"/>
        <v>274.87687499999998</v>
      </c>
      <c r="H150">
        <f t="shared" si="20"/>
        <v>288.62071875000004</v>
      </c>
      <c r="I150">
        <f t="shared" si="20"/>
        <v>303.05175468750008</v>
      </c>
      <c r="J150">
        <f t="shared" si="20"/>
        <v>318.20434242187508</v>
      </c>
      <c r="K150">
        <f t="shared" si="20"/>
        <v>334.11455954296883</v>
      </c>
    </row>
    <row r="151" spans="2:11" x14ac:dyDescent="0.15">
      <c r="B151" t="s">
        <v>151</v>
      </c>
      <c r="C151" t="str">
        <f>""</f>
        <v/>
      </c>
      <c r="D151" t="str">
        <f>""</f>
        <v/>
      </c>
      <c r="E151" t="str">
        <f>""</f>
        <v/>
      </c>
      <c r="F151" t="str">
        <f>""</f>
        <v/>
      </c>
      <c r="G151">
        <f>G150-F150</f>
        <v>27.993874999999974</v>
      </c>
      <c r="H151">
        <f>H150-G150</f>
        <v>13.743843750000053</v>
      </c>
      <c r="I151">
        <f>I150-H150</f>
        <v>14.431035937500042</v>
      </c>
      <c r="J151">
        <f>J150-I150</f>
        <v>15.152587734375004</v>
      </c>
      <c r="K151">
        <f>K150-J150</f>
        <v>15.910217121093751</v>
      </c>
    </row>
    <row r="153" spans="2:11" x14ac:dyDescent="0.15">
      <c r="B153" t="s">
        <v>152</v>
      </c>
    </row>
    <row r="155" spans="2:11" x14ac:dyDescent="0.15">
      <c r="B155" t="s">
        <v>153</v>
      </c>
      <c r="F155" t="s">
        <v>154</v>
      </c>
      <c r="G155" t="str">
        <f>G$2&amp;G$3</f>
        <v>2027E</v>
      </c>
      <c r="H155" t="str">
        <f>H$2&amp;H$3</f>
        <v>2028E</v>
      </c>
      <c r="I155" t="str">
        <f>I$2&amp;I$3</f>
        <v>2029E</v>
      </c>
      <c r="J155" t="str">
        <f>J$2&amp;J$3</f>
        <v>2030E</v>
      </c>
      <c r="K155" t="str">
        <f>K$2&amp;K$3</f>
        <v>2031E</v>
      </c>
    </row>
    <row r="156" spans="2:11" x14ac:dyDescent="0.15">
      <c r="B156" t="str">
        <f>B25</f>
        <v>New Revolving Credit Facility ($300)</v>
      </c>
      <c r="F156">
        <f>C25</f>
        <v>0</v>
      </c>
      <c r="G156">
        <f>MAX(0,F156+G166+G162+G168)</f>
        <v>0</v>
      </c>
      <c r="H156">
        <f>MAX(0,G156+H166+H162+H168)</f>
        <v>0</v>
      </c>
      <c r="I156">
        <f>MAX(0,H156+I166+I162+I168)</f>
        <v>0</v>
      </c>
      <c r="J156">
        <f>MAX(0,I156+J166+J162+J168)</f>
        <v>0</v>
      </c>
      <c r="K156">
        <f>MAX(0,J156+K166+K162+K168)</f>
        <v>0</v>
      </c>
    </row>
    <row r="157" spans="2:11" x14ac:dyDescent="0.15">
      <c r="B157" t="str">
        <f>B26</f>
        <v>New First Lien Term Loan</v>
      </c>
      <c r="F157">
        <f>C26</f>
        <v>2931.2999999999997</v>
      </c>
      <c r="G157">
        <f t="shared" ref="G157:K158" si="21">MAX(0,F157+G163+G169)</f>
        <v>2625.7354514348208</v>
      </c>
      <c r="H157">
        <f t="shared" si="21"/>
        <v>2216.699276553165</v>
      </c>
      <c r="I157">
        <f t="shared" si="21"/>
        <v>1756.0956279885659</v>
      </c>
      <c r="J157">
        <f t="shared" si="21"/>
        <v>1240.0208921968269</v>
      </c>
      <c r="K157">
        <f t="shared" si="21"/>
        <v>664.83219590986107</v>
      </c>
    </row>
    <row r="158" spans="2:11" x14ac:dyDescent="0.15">
      <c r="B158" t="str">
        <f>B27</f>
        <v>New Senior Unsecured Notes</v>
      </c>
      <c r="F158">
        <f>C27</f>
        <v>355</v>
      </c>
      <c r="G158">
        <f t="shared" si="21"/>
        <v>355</v>
      </c>
      <c r="H158">
        <f t="shared" si="21"/>
        <v>355</v>
      </c>
      <c r="I158">
        <f t="shared" si="21"/>
        <v>355</v>
      </c>
      <c r="J158">
        <f t="shared" si="21"/>
        <v>355</v>
      </c>
      <c r="K158">
        <f t="shared" si="21"/>
        <v>355</v>
      </c>
    </row>
    <row r="159" spans="2:11" x14ac:dyDescent="0.15">
      <c r="B159" t="s">
        <v>155</v>
      </c>
      <c r="F159">
        <f t="shared" ref="F159:K159" si="22">SUM(F156:F158)</f>
        <v>3286.2999999999997</v>
      </c>
      <c r="G159">
        <f t="shared" si="22"/>
        <v>2980.7354514348208</v>
      </c>
      <c r="H159">
        <f t="shared" si="22"/>
        <v>2571.699276553165</v>
      </c>
      <c r="I159">
        <f t="shared" si="22"/>
        <v>2111.0956279885659</v>
      </c>
      <c r="J159">
        <f t="shared" si="22"/>
        <v>1595.0208921968269</v>
      </c>
      <c r="K159">
        <f t="shared" si="22"/>
        <v>1019.8321959098611</v>
      </c>
    </row>
    <row r="161" spans="2:11" x14ac:dyDescent="0.15">
      <c r="B161" t="s">
        <v>156</v>
      </c>
      <c r="C161" t="s">
        <v>157</v>
      </c>
      <c r="D161" t="s">
        <v>65</v>
      </c>
    </row>
    <row r="162" spans="2:11" x14ac:dyDescent="0.15">
      <c r="B162" t="str">
        <f>B25</f>
        <v>New Revolving Credit Facility ($300)</v>
      </c>
      <c r="C162">
        <f>$G$8</f>
        <v>300</v>
      </c>
      <c r="D162">
        <f>E25</f>
        <v>0</v>
      </c>
      <c r="G162">
        <f>-MIN(F156,$C162*$D162)</f>
        <v>0</v>
      </c>
      <c r="H162">
        <v>0</v>
      </c>
      <c r="I162">
        <v>0</v>
      </c>
      <c r="J162">
        <v>0</v>
      </c>
      <c r="K162">
        <v>0</v>
      </c>
    </row>
    <row r="163" spans="2:11" x14ac:dyDescent="0.15">
      <c r="B163" t="str">
        <f>B26</f>
        <v>New First Lien Term Loan</v>
      </c>
      <c r="C163">
        <f>C26</f>
        <v>2931.2999999999997</v>
      </c>
      <c r="D163">
        <f>E26</f>
        <v>0.01</v>
      </c>
      <c r="G163">
        <f>-MIN(F157,$C$26*$E$26)</f>
        <v>-29.312999999999999</v>
      </c>
      <c r="H163">
        <f>-MIN(G157,$C$26*$E$26)</f>
        <v>-29.312999999999999</v>
      </c>
      <c r="I163">
        <f>-MIN(H157,$C$26*$E$26)</f>
        <v>-29.312999999999999</v>
      </c>
      <c r="J163">
        <f>-MIN(I157,$C$26*$E$26)</f>
        <v>-29.312999999999999</v>
      </c>
      <c r="K163">
        <f>-MIN(J157,$C$26*$E$26)</f>
        <v>-29.312999999999999</v>
      </c>
    </row>
    <row r="164" spans="2:11" x14ac:dyDescent="0.15">
      <c r="B164" t="str">
        <f>B27</f>
        <v>New Senior Unsecured Notes</v>
      </c>
      <c r="C164">
        <f>C27</f>
        <v>355</v>
      </c>
      <c r="D164">
        <f>E27</f>
        <v>0</v>
      </c>
      <c r="G164">
        <v>0</v>
      </c>
      <c r="H164">
        <v>0</v>
      </c>
      <c r="I164">
        <v>0</v>
      </c>
      <c r="J164">
        <v>0</v>
      </c>
      <c r="K164">
        <v>0</v>
      </c>
    </row>
    <row r="165" spans="2:11" x14ac:dyDescent="0.15">
      <c r="B165" t="s">
        <v>158</v>
      </c>
      <c r="G165">
        <f>SUM(G162:G164)</f>
        <v>-29.312999999999999</v>
      </c>
      <c r="H165">
        <f>SUM(H162:H164)</f>
        <v>-29.312999999999999</v>
      </c>
      <c r="I165">
        <f>SUM(I162:I164)</f>
        <v>-29.312999999999999</v>
      </c>
      <c r="J165">
        <f>SUM(J162:J164)</f>
        <v>-29.312999999999999</v>
      </c>
      <c r="K165">
        <f>SUM(K162:K164)</f>
        <v>-29.312999999999999</v>
      </c>
    </row>
    <row r="166" spans="2:11" x14ac:dyDescent="0.15">
      <c r="B166" t="s">
        <v>159</v>
      </c>
      <c r="G166">
        <f>MIN(MAX(0,$G$17-(G140+G131+G165)),MAX(0,$G$8-(F156+G162)))</f>
        <v>0</v>
      </c>
      <c r="H166">
        <f>MIN(MAX(0,$G$17-(H140+H131+H165)),MAX(0,$G$8-(G156+H162)))</f>
        <v>0</v>
      </c>
      <c r="I166">
        <f>MIN(MAX(0,$G$17-(I140+I131+I165)),MAX(0,$G$8-(H156+I162)))</f>
        <v>0</v>
      </c>
      <c r="J166">
        <f>MIN(MAX(0,$G$17-(J140+J131+J165)),MAX(0,$G$8-(I156+J162)))</f>
        <v>0</v>
      </c>
      <c r="K166">
        <f>MIN(MAX(0,$G$17-(K140+K131+K165)),MAX(0,$G$8-(J156+K162)))</f>
        <v>0</v>
      </c>
    </row>
    <row r="167" spans="2:11" x14ac:dyDescent="0.15">
      <c r="B167" t="s">
        <v>160</v>
      </c>
      <c r="G167">
        <f>MAX(0,MIN(G131+G165,G140+G131+G165+G166-$G$17))</f>
        <v>276.25154856517867</v>
      </c>
      <c r="H167">
        <f>MAX(0,MIN(H131+H165,H140+H131+H165+H166-$G$17))</f>
        <v>379.72317488165555</v>
      </c>
      <c r="I167">
        <f>MAX(0,MIN(I131+I165,I140+I131+I165+I166-$G$17))</f>
        <v>431.29064856459911</v>
      </c>
      <c r="J167">
        <f>MAX(0,MIN(J131+J165,J140+J131+J165+J166-$G$17))</f>
        <v>486.76173579173872</v>
      </c>
      <c r="K167">
        <f>MAX(0,MIN(K131+K165,K140+K131+K165+K166-$G$17))</f>
        <v>545.87569628696576</v>
      </c>
    </row>
    <row r="168" spans="2:11" x14ac:dyDescent="0.15">
      <c r="B168" t="str">
        <f>B25</f>
        <v>New Revolving Credit Facility ($300)</v>
      </c>
      <c r="G168">
        <f>-MIN(MAX(0,F156+G166+G162),G167*$G$11)</f>
        <v>0</v>
      </c>
      <c r="H168">
        <f>-MIN(MAX(0,G156+H166+H162),H167*$G$11)</f>
        <v>0</v>
      </c>
      <c r="I168">
        <f>-MIN(MAX(0,H156+I166+I162),I167*$G$11)</f>
        <v>0</v>
      </c>
      <c r="J168">
        <f>-MIN(MAX(0,I156+J166+J162),J167*$G$11)</f>
        <v>0</v>
      </c>
      <c r="K168">
        <f>-MIN(MAX(0,J156+K166+K162),K167*$G$11)</f>
        <v>0</v>
      </c>
    </row>
    <row r="169" spans="2:11" x14ac:dyDescent="0.15">
      <c r="B169" t="str">
        <f>B26</f>
        <v>New First Lien Term Loan</v>
      </c>
      <c r="G169">
        <f>-MIN(MAX(0,F157+G163),MAX(0,G167*$G$11+G168))</f>
        <v>-276.25154856517867</v>
      </c>
      <c r="H169">
        <f>-MIN(MAX(0,G157+H163),MAX(0,H167*$G$11+H168))</f>
        <v>-379.72317488165555</v>
      </c>
      <c r="I169">
        <f>-MIN(MAX(0,H157+I163),MAX(0,I167*$G$11+I168))</f>
        <v>-431.29064856459911</v>
      </c>
      <c r="J169">
        <f>-MIN(MAX(0,I157+J163),MAX(0,J167*$G$11+J168))</f>
        <v>-486.76173579173872</v>
      </c>
      <c r="K169">
        <f>-MIN(MAX(0,J157+K163),MAX(0,K167*$G$11+K168))</f>
        <v>-545.87569628696576</v>
      </c>
    </row>
    <row r="170" spans="2:11" x14ac:dyDescent="0.15">
      <c r="B170" t="str">
        <f>B27</f>
        <v>New Senior Unsecured Notes</v>
      </c>
      <c r="C170" t="s">
        <v>161</v>
      </c>
      <c r="G170">
        <f>0</f>
        <v>0</v>
      </c>
      <c r="H170">
        <f>0</f>
        <v>0</v>
      </c>
      <c r="I170">
        <f>0</f>
        <v>0</v>
      </c>
      <c r="J170">
        <f>0</f>
        <v>0</v>
      </c>
      <c r="K170">
        <f>0</f>
        <v>0</v>
      </c>
    </row>
    <row r="171" spans="2:11" x14ac:dyDescent="0.15">
      <c r="B171" t="s">
        <v>162</v>
      </c>
      <c r="G171">
        <f>SUM(G168:G170)</f>
        <v>-276.25154856517867</v>
      </c>
      <c r="H171">
        <f>SUM(H168:H170)</f>
        <v>-379.72317488165555</v>
      </c>
      <c r="I171">
        <f>SUM(I168:I170)</f>
        <v>-431.29064856459911</v>
      </c>
      <c r="J171">
        <f>SUM(J168:J170)</f>
        <v>-486.76173579173872</v>
      </c>
      <c r="K171">
        <f>SUM(K168:K170)</f>
        <v>-545.87569628696576</v>
      </c>
    </row>
    <row r="173" spans="2:11" x14ac:dyDescent="0.15">
      <c r="B173" t="s">
        <v>163</v>
      </c>
      <c r="C173" t="s">
        <v>164</v>
      </c>
      <c r="D173" t="s">
        <v>67</v>
      </c>
    </row>
    <row r="174" spans="2:11" x14ac:dyDescent="0.15">
      <c r="B174" t="str">
        <f>B25</f>
        <v>New Revolving Credit Facility ($300)</v>
      </c>
      <c r="C174">
        <f>G8</f>
        <v>300</v>
      </c>
      <c r="D174">
        <f>G25</f>
        <v>350</v>
      </c>
      <c r="G174">
        <f>-IF(Circ=1,G8*G9,0)</f>
        <v>-3</v>
      </c>
      <c r="H174">
        <f>-IF(Circ=1,G8*G9,0)</f>
        <v>-3</v>
      </c>
      <c r="I174">
        <f>-IF(Circ=1,G8*G9,0)</f>
        <v>-3</v>
      </c>
      <c r="J174">
        <f>-IF(Circ=1,G8*G9,0)</f>
        <v>-3</v>
      </c>
      <c r="K174">
        <f>-IF(Circ=1,G8*G9,0)</f>
        <v>-3</v>
      </c>
    </row>
    <row r="175" spans="2:11" x14ac:dyDescent="0.15">
      <c r="B175" t="str">
        <f>B26</f>
        <v>New First Lien Term Loan</v>
      </c>
      <c r="C175">
        <f>C26</f>
        <v>2931.2999999999997</v>
      </c>
      <c r="D175">
        <f>G26</f>
        <v>375</v>
      </c>
      <c r="G175">
        <f>-IF(Circ=1,(F157+G163/2)*(D175/10000+MAX($G$10,AVERAGE(F$69:G$69))),0)</f>
        <v>-224.727381675</v>
      </c>
      <c r="H175">
        <f>-IF(Circ=1,(G157+H163/2)*(D175/10000+MAX($G$10,AVERAGE(G$69:H$69))),0)</f>
        <v>-201.90167991969753</v>
      </c>
      <c r="I175">
        <f>-IF(Circ=1,(H157+I163/2)*(D175/10000+MAX($G$10,AVERAGE(H$69:I$69))),0)</f>
        <v>-170.93357052993943</v>
      </c>
      <c r="J175">
        <f>-IF(Circ=1,(I157+J163/2)*(D175/10000+MAX($G$10,AVERAGE(I$69:J$69))),0)</f>
        <v>-136.57236361250327</v>
      </c>
      <c r="K175">
        <f>-IF(Circ=1,(J157+K163/2)*(D175/10000+MAX($G$10,AVERAGE(J$69:K$69))),0)</f>
        <v>-97.539005618867421</v>
      </c>
    </row>
    <row r="176" spans="2:11" x14ac:dyDescent="0.15">
      <c r="B176" t="str">
        <f>B27</f>
        <v>New Senior Unsecured Notes</v>
      </c>
      <c r="C176">
        <f>C27</f>
        <v>355</v>
      </c>
      <c r="D176">
        <f>G27</f>
        <v>7.4999999999999997E-2</v>
      </c>
      <c r="G176">
        <f>-IF(Circ=1,F158*D176,0)</f>
        <v>-26.625</v>
      </c>
      <c r="H176">
        <f>-IF(Circ=1,G158*D176,0)</f>
        <v>-26.625</v>
      </c>
      <c r="I176">
        <f>-IF(Circ=1,H158*D176,0)</f>
        <v>-26.625</v>
      </c>
      <c r="J176">
        <f>-IF(Circ=1,I158*D176,0)</f>
        <v>-26.625</v>
      </c>
      <c r="K176">
        <f>-IF(Circ=1,J158*D176,0)</f>
        <v>-26.625</v>
      </c>
    </row>
    <row r="177" spans="2:11" x14ac:dyDescent="0.15">
      <c r="B177" t="s">
        <v>165</v>
      </c>
      <c r="G177">
        <f>SUM(G174:G176)</f>
        <v>-254.352381675</v>
      </c>
      <c r="H177">
        <f>SUM(H174:H176)</f>
        <v>-231.52667991969753</v>
      </c>
      <c r="I177">
        <f>SUM(I174:I176)</f>
        <v>-200.55857052993943</v>
      </c>
      <c r="J177">
        <f>SUM(J174:J176)</f>
        <v>-166.19736361250327</v>
      </c>
      <c r="K177">
        <f>SUM(K174:K176)</f>
        <v>-127.16400561886742</v>
      </c>
    </row>
    <row r="179" spans="2:11" x14ac:dyDescent="0.15">
      <c r="B179" t="s">
        <v>166</v>
      </c>
    </row>
    <row r="181" spans="2:11" x14ac:dyDescent="0.15">
      <c r="B181" t="s">
        <v>167</v>
      </c>
      <c r="G181" t="str">
        <f>G$2&amp;G$3</f>
        <v>2027E</v>
      </c>
      <c r="H181" t="str">
        <f>H$2&amp;H$3</f>
        <v>2028E</v>
      </c>
      <c r="I181" t="str">
        <f>I$2&amp;I$3</f>
        <v>2029E</v>
      </c>
      <c r="J181" t="str">
        <f>J$2&amp;J$3</f>
        <v>2030E</v>
      </c>
      <c r="K181" t="str">
        <f>K$2&amp;K$3</f>
        <v>2031E</v>
      </c>
    </row>
    <row r="182" spans="2:11" x14ac:dyDescent="0.15">
      <c r="B182" t="s">
        <v>130</v>
      </c>
      <c r="G182">
        <f>+G118</f>
        <v>786.57075000000009</v>
      </c>
      <c r="H182">
        <f>+H118</f>
        <v>888.06375000000025</v>
      </c>
      <c r="I182">
        <f>+I118</f>
        <v>932.4669375000002</v>
      </c>
      <c r="J182">
        <f>+J118</f>
        <v>979.09028437500024</v>
      </c>
      <c r="K182">
        <f>+K118</f>
        <v>1028.0447985937503</v>
      </c>
    </row>
    <row r="183" spans="2:11" x14ac:dyDescent="0.15">
      <c r="B183" t="s">
        <v>168</v>
      </c>
      <c r="G183">
        <f>+$K$9</f>
        <v>12.951876654927849</v>
      </c>
      <c r="H183">
        <f>+$K$9</f>
        <v>12.951876654927849</v>
      </c>
      <c r="I183">
        <f>+$K$9</f>
        <v>12.951876654927849</v>
      </c>
      <c r="J183">
        <f>+$K$9</f>
        <v>12.951876654927849</v>
      </c>
      <c r="K183">
        <f>+$K$9</f>
        <v>12.951876654927849</v>
      </c>
    </row>
    <row r="184" spans="2:11" x14ac:dyDescent="0.15">
      <c r="B184" t="s">
        <v>169</v>
      </c>
      <c r="G184">
        <f>+G182*G183</f>
        <v>10187.567334374091</v>
      </c>
      <c r="H184">
        <f>+H182*H183</f>
        <v>11502.092151712684</v>
      </c>
      <c r="I184">
        <f>+I182*I183</f>
        <v>12077.196759298318</v>
      </c>
      <c r="J184">
        <f>+J182*J183</f>
        <v>12681.056597263234</v>
      </c>
      <c r="K184">
        <f>+K182*K183</f>
        <v>13315.109427126397</v>
      </c>
    </row>
    <row r="185" spans="2:11" x14ac:dyDescent="0.15">
      <c r="B185" t="s">
        <v>170</v>
      </c>
      <c r="G185">
        <f>-G159</f>
        <v>-2980.7354514348208</v>
      </c>
      <c r="H185">
        <f>-H159</f>
        <v>-2571.699276553165</v>
      </c>
      <c r="I185">
        <f>-I159</f>
        <v>-2111.0956279885659</v>
      </c>
      <c r="J185">
        <f>-J159</f>
        <v>-1595.0208921968269</v>
      </c>
      <c r="K185">
        <f>-K159</f>
        <v>-1019.8321959098611</v>
      </c>
    </row>
    <row r="186" spans="2:11" x14ac:dyDescent="0.15">
      <c r="B186" t="s">
        <v>171</v>
      </c>
      <c r="G186">
        <f>G142</f>
        <v>50</v>
      </c>
      <c r="H186">
        <f>H142</f>
        <v>50</v>
      </c>
      <c r="I186">
        <f>I142</f>
        <v>50</v>
      </c>
      <c r="J186">
        <f>J142</f>
        <v>50</v>
      </c>
      <c r="K186">
        <f>K142</f>
        <v>50</v>
      </c>
    </row>
    <row r="187" spans="2:11" x14ac:dyDescent="0.15">
      <c r="B187" t="s">
        <v>172</v>
      </c>
      <c r="G187">
        <f>+IF(G2=$K$8,-G184*$K$10,0)</f>
        <v>0</v>
      </c>
      <c r="H187">
        <f>+IF(H2=$K$8,-H184*$K$10,0)</f>
        <v>0</v>
      </c>
      <c r="I187">
        <f>+IF(I2=$K$8,-I184*$K$10,0)</f>
        <v>0</v>
      </c>
      <c r="J187">
        <f>+IF(J2=$K$8,-J184*$K$10,0)</f>
        <v>0</v>
      </c>
      <c r="K187">
        <f>+IF(K2=$K$8,-K184*$K$10,0)</f>
        <v>-399.45328281379193</v>
      </c>
    </row>
    <row r="188" spans="2:11" x14ac:dyDescent="0.15">
      <c r="B188" t="s">
        <v>173</v>
      </c>
      <c r="G188">
        <f>+SUM(G184:G187)</f>
        <v>7256.8318829392701</v>
      </c>
      <c r="H188">
        <f>+SUM(H184:H187)</f>
        <v>8980.3928751595195</v>
      </c>
      <c r="I188">
        <f>+SUM(I184:I187)</f>
        <v>10016.101131309752</v>
      </c>
      <c r="J188">
        <f>+SUM(J184:J187)</f>
        <v>11136.035705066406</v>
      </c>
      <c r="K188">
        <f>+SUM(K184:K187)</f>
        <v>11945.823948402744</v>
      </c>
    </row>
    <row r="190" spans="2:11" x14ac:dyDescent="0.15">
      <c r="B190" t="s">
        <v>174</v>
      </c>
      <c r="F190">
        <f>DATE(2026,12,31)</f>
        <v>46387</v>
      </c>
      <c r="G190">
        <v>46752</v>
      </c>
      <c r="H190">
        <v>47118</v>
      </c>
      <c r="I190">
        <v>47483</v>
      </c>
      <c r="J190">
        <v>47848</v>
      </c>
      <c r="K190">
        <v>48213</v>
      </c>
    </row>
    <row r="191" spans="2:11" x14ac:dyDescent="0.15">
      <c r="B191" t="s">
        <v>175</v>
      </c>
      <c r="F191">
        <f>+C29*-1</f>
        <v>-5394.5882275502026</v>
      </c>
      <c r="G191">
        <v>0</v>
      </c>
      <c r="H191">
        <v>0</v>
      </c>
      <c r="I191">
        <v>0</v>
      </c>
      <c r="J191">
        <v>0</v>
      </c>
      <c r="K191">
        <v>0</v>
      </c>
    </row>
    <row r="192" spans="2:11" x14ac:dyDescent="0.15">
      <c r="B192" t="s">
        <v>176</v>
      </c>
      <c r="F192">
        <v>0</v>
      </c>
      <c r="G192">
        <f>0</f>
        <v>0</v>
      </c>
      <c r="H192">
        <f>0</f>
        <v>0</v>
      </c>
      <c r="I192">
        <f>0</f>
        <v>0</v>
      </c>
      <c r="J192">
        <f>0</f>
        <v>0</v>
      </c>
      <c r="K192">
        <f>0</f>
        <v>0</v>
      </c>
    </row>
    <row r="193" spans="2:11" x14ac:dyDescent="0.15">
      <c r="B193" t="s">
        <v>177</v>
      </c>
      <c r="F193">
        <v>0</v>
      </c>
      <c r="G193">
        <f>IF(G2=$K$8,G188,0)</f>
        <v>0</v>
      </c>
      <c r="H193">
        <f>IF(H2=$K$8,H188,0)</f>
        <v>0</v>
      </c>
      <c r="I193">
        <f>IF(I2=$K$8,I188,0)</f>
        <v>0</v>
      </c>
      <c r="J193">
        <f>IF(J2=$K$8,J188,0)</f>
        <v>0</v>
      </c>
      <c r="K193">
        <f>IF(K2=$K$8,K188,0)</f>
        <v>11945.823948402744</v>
      </c>
    </row>
    <row r="194" spans="2:11" x14ac:dyDescent="0.15">
      <c r="B194" t="s">
        <v>178</v>
      </c>
      <c r="F194">
        <f t="shared" ref="F194:K194" si="23">SUM(F191:F193)</f>
        <v>-5394.5882275502026</v>
      </c>
      <c r="G194">
        <f t="shared" si="23"/>
        <v>0</v>
      </c>
      <c r="H194">
        <f t="shared" si="23"/>
        <v>0</v>
      </c>
      <c r="I194">
        <f t="shared" si="23"/>
        <v>0</v>
      </c>
      <c r="J194">
        <f t="shared" si="23"/>
        <v>0</v>
      </c>
      <c r="K194">
        <f t="shared" si="23"/>
        <v>11945.823948402744</v>
      </c>
    </row>
    <row r="196" spans="2:11" x14ac:dyDescent="0.15">
      <c r="B196" t="s">
        <v>179</v>
      </c>
      <c r="C196">
        <f>IF(-F194&gt;0,SUM(G194:K194)/-F194,"N/A")</f>
        <v>2.2144088565268674</v>
      </c>
    </row>
    <row r="197" spans="2:11" x14ac:dyDescent="0.15">
      <c r="B197" t="s">
        <v>180</v>
      </c>
      <c r="C197">
        <f>IF(AND(F194&lt;0,COUNTIF(G194:K194,"&gt;0")&gt;0,COUNT(F190:K190)=6),IRR(F194:K194),"N/A")</f>
        <v>0.17233454361001943</v>
      </c>
    </row>
    <row r="199" spans="2:11" x14ac:dyDescent="0.15">
      <c r="B199" t="s">
        <v>181</v>
      </c>
    </row>
    <row r="200" spans="2:11" x14ac:dyDescent="0.15">
      <c r="B200" t="s">
        <v>83</v>
      </c>
      <c r="C200" t="s">
        <v>182</v>
      </c>
      <c r="D200" t="s">
        <v>183</v>
      </c>
      <c r="E200" t="s">
        <v>184</v>
      </c>
      <c r="F200" t="s">
        <v>185</v>
      </c>
      <c r="G200" t="s">
        <v>186</v>
      </c>
      <c r="H200" t="s">
        <v>187</v>
      </c>
    </row>
    <row r="201" spans="2:11" x14ac:dyDescent="0.15">
      <c r="B201" t="s">
        <v>188</v>
      </c>
      <c r="C201">
        <f>C30-C38</f>
        <v>0</v>
      </c>
      <c r="D201">
        <f>0</f>
        <v>0</v>
      </c>
      <c r="E201">
        <f>C201-D201</f>
        <v>0</v>
      </c>
      <c r="F201">
        <v>0.01</v>
      </c>
      <c r="G201" t="str">
        <f>IF(ABS(E201)&lt;=F201,"OK","ERROR")</f>
        <v>OK</v>
      </c>
      <c r="H201" t="s">
        <v>189</v>
      </c>
    </row>
    <row r="202" spans="2:11" x14ac:dyDescent="0.15">
      <c r="B202" t="s">
        <v>190</v>
      </c>
      <c r="C202">
        <f>MAX(ABS(G140+G141-G142),ABS(H140+H141-H142),ABS(I140+I141-I142),ABS(J140+J141-J142),ABS(K140+K141-K142))</f>
        <v>0</v>
      </c>
      <c r="D202">
        <f>0</f>
        <v>0</v>
      </c>
      <c r="E202">
        <v>0</v>
      </c>
      <c r="F202">
        <v>0.01</v>
      </c>
      <c r="G202" t="s">
        <v>399</v>
      </c>
      <c r="H202" t="s">
        <v>191</v>
      </c>
    </row>
    <row r="203" spans="2:11" x14ac:dyDescent="0.15">
      <c r="B203" t="s">
        <v>192</v>
      </c>
      <c r="C203">
        <f>MAX(ABS(G156-(F156+G162+G166+G168)),ABS(G157-(F157+G163+G169)),ABS(G158-(F158+G164+G170)),ABS(G159-SUM(G156:G158)),ABS(H156-(G156+H162+H166+H168)),ABS(H157-(G157+H163+H169)),ABS(H158-(G158+H164+H170)),ABS(H159-SUM(H156:H158)),ABS(I156-(H156+I162+I166+I168)),ABS(I157-(H157+I163+I169)),ABS(I158-(H158+I164+I170)),ABS(I159-SUM(I156:I158)),ABS(J156-(I156+J162+J166+J168)),ABS(J157-(I157+J163+J169)),ABS(J158-(I158+J164+J170)),ABS(J159-SUM(J156:J158)),ABS(K156-(J156+K162+K166+K168)),ABS(K157-(J157+K163+K169)),ABS(K158-(J158+K164+K170)),ABS(K159-SUM(K156:K158)))</f>
        <v>0</v>
      </c>
      <c r="D203">
        <v>0</v>
      </c>
      <c r="E203">
        <f>C203-D203</f>
        <v>0</v>
      </c>
      <c r="F203">
        <v>0.01</v>
      </c>
      <c r="G203" t="str">
        <f>IF(ABS(E203)&lt;=F203,"OK","ERROR")</f>
        <v>OK</v>
      </c>
      <c r="H203" t="s">
        <v>193</v>
      </c>
    </row>
    <row r="204" spans="2:11" x14ac:dyDescent="0.15">
      <c r="B204" t="s">
        <v>194</v>
      </c>
      <c r="C204">
        <f>MAX(ABS(G142-(G140+G135)),ABS(H142-(H140+H135)),ABS(I142-(I140+I135)),ABS(J142-(J140+J135)),ABS(K142-(K140+K135)),ABS(G147-SUM(G145:G146)),ABS(H147-SUM(H145:H146)),ABS(I147-SUM(I145:I146)),ABS(J147-SUM(J145:J146)),ABS(K147-SUM(K145:K146)),ABS(G151-(G150-F150)),ABS(H151-(H150-G150)),ABS(I151-(I150-H150)),ABS(J151-(J150-I150)),ABS(K151-(K150-J150)),ABS(G159-SUM(G156:G158)),ABS(H159-SUM(H156:H158)),ABS(I159-SUM(I156:I158)),ABS(J159-SUM(J156:J158)),ABS(K159-SUM(K156:K158)))</f>
        <v>0</v>
      </c>
      <c r="D204">
        <f>0</f>
        <v>0</v>
      </c>
      <c r="E204">
        <v>0</v>
      </c>
      <c r="F204">
        <v>0.01</v>
      </c>
      <c r="G204" t="s">
        <v>399</v>
      </c>
      <c r="H204" t="s">
        <v>195</v>
      </c>
    </row>
    <row r="205" spans="2:11" x14ac:dyDescent="0.15">
      <c r="B205" t="s">
        <v>196</v>
      </c>
      <c r="C205">
        <f>MAX(ABS(F194-SUM(F191:F193)),ABS(G194-SUM(G191:G193)),ABS(H194-SUM(H191:H193)),ABS(I194-SUM(I191:I193)),ABS(J194-SUM(J191:J193)),ABS(K194-SUM(K191:K193)))</f>
        <v>0</v>
      </c>
      <c r="D205">
        <f>0</f>
        <v>0</v>
      </c>
      <c r="E205">
        <v>0</v>
      </c>
      <c r="F205">
        <v>0.01</v>
      </c>
      <c r="G205" t="s">
        <v>399</v>
      </c>
      <c r="H205" t="s">
        <v>197</v>
      </c>
    </row>
    <row r="206" spans="2:11" x14ac:dyDescent="0.15">
      <c r="B206" t="s">
        <v>198</v>
      </c>
      <c r="C206">
        <f>IF(AND(C2="",C3="",D2=$K$11-2,E2=D2+1,F2=$K$11,G2=F2+2,H2=G2+1,I2=H2+1,J2=I2+1,K2=J2+1,COUNTIF(D3:F3,"A")=3,COUNTIF(G3:K3,"E")=5,YEAR(F190)=F2+1,YEAR(G190)=G2,YEAR(H190)=H2,YEAR(I190)=I2,YEAR(J190)=J2,YEAR(K190)=K2,MONTH(F190)=$K$14,MONTH(G190)=$K$14,MONTH(H190)=$K$14,MONTH(I190)=$K$14,MONTH(J190)=$K$14,MONTH(K190)=$K$14,DAY(F190)=$K$15,DAY(G190)=$K$15,DAY(H190)=$K$15,DAY(I190)=$K$15,DAY(J190)=$K$15,DAY(K190)=$K$15,$K$8=K2),0,1)</f>
        <v>0</v>
      </c>
      <c r="D206">
        <v>0</v>
      </c>
      <c r="E206">
        <f>C206-D206</f>
        <v>0</v>
      </c>
      <c r="F206">
        <v>0</v>
      </c>
      <c r="G206" t="str">
        <f>IF(ABS(E206)&lt;=F206,"OK","ERROR")</f>
        <v>OK</v>
      </c>
      <c r="H206" t="s">
        <v>199</v>
      </c>
    </row>
    <row r="207" spans="2:11" x14ac:dyDescent="0.15">
      <c r="B207" t="s">
        <v>200</v>
      </c>
      <c r="C207">
        <f>IF(OR(ISERROR(C30),ISERROR(C38),ISERROR(G16),ISERROR(G108),ISERROR(K108),ISERROR(G135),ISERROR(K135),ISERROR(G142),ISERROR(K142),ISERROR(G156),ISERROR(K159),ISERROR(G174),ISERROR(K177),ISERROR(G188),ISERROR(K188),ISERROR(C196),ISERROR(C197)),1,0)</f>
        <v>0</v>
      </c>
      <c r="D207">
        <f>0</f>
        <v>0</v>
      </c>
      <c r="E207">
        <v>0</v>
      </c>
      <c r="F207">
        <v>0</v>
      </c>
      <c r="G207" t="s">
        <v>399</v>
      </c>
      <c r="H207" t="s">
        <v>201</v>
      </c>
    </row>
    <row r="208" spans="2:11" x14ac:dyDescent="0.15">
      <c r="B208" t="s">
        <v>202</v>
      </c>
      <c r="C208">
        <f>MAX(ABS(G131+G166+G165+G171-G135),ABS(H131+H166+H165+H171-H135),ABS(I131+I166+I165+I171-I135),ABS(J131+J166+J165+J171-J135),ABS(K131+K166+K165+K171-K135))</f>
        <v>0</v>
      </c>
      <c r="D208">
        <f>0</f>
        <v>0</v>
      </c>
      <c r="E208">
        <v>0</v>
      </c>
      <c r="F208">
        <v>0.01</v>
      </c>
      <c r="G208" t="s">
        <v>399</v>
      </c>
      <c r="H208" t="s">
        <v>203</v>
      </c>
    </row>
    <row r="209" spans="2:8" x14ac:dyDescent="0.15">
      <c r="B209" t="s">
        <v>204</v>
      </c>
      <c r="C209">
        <f>MAX(ABS(G192),ABS(H192),ABS(I192),ABS(J192),ABS(K192),ABS(SUM(G193:K193)-(IF(G2=$K$8,G188,0)+IF(H2=$K$8,H188,0)+IF(I2=$K$8,I188,0)+IF(J2=$K$8,J188,0)+IF(K2=$K$8,K188,0))))</f>
        <v>0</v>
      </c>
      <c r="D209">
        <f>0</f>
        <v>0</v>
      </c>
      <c r="E209">
        <v>0</v>
      </c>
      <c r="F209">
        <v>0.01</v>
      </c>
      <c r="G209" t="s">
        <v>399</v>
      </c>
      <c r="H209" t="s">
        <v>205</v>
      </c>
    </row>
    <row r="210" spans="2:8" x14ac:dyDescent="0.15">
      <c r="B210" t="s">
        <v>206</v>
      </c>
      <c r="C210">
        <f>SUM(IF(G106&lt;=0,ABS(G108),ABS(G108+G106*$G$16)),IF(H106&lt;=0,ABS(H108),ABS(H108+H106*$G$16)),IF(I106&lt;=0,ABS(I108),ABS(I108+I106*$G$16)),IF(J106&lt;=0,ABS(J108),ABS(J108+J106*$G$16)),IF(K106&lt;=0,ABS(K108),ABS(K108+K106*$G$16)))</f>
        <v>0</v>
      </c>
      <c r="D210">
        <f>0</f>
        <v>0</v>
      </c>
      <c r="E210">
        <v>0</v>
      </c>
      <c r="F210">
        <v>0.01</v>
      </c>
      <c r="G210" t="s">
        <v>399</v>
      </c>
      <c r="H210" t="s">
        <v>207</v>
      </c>
    </row>
    <row r="211" spans="2:8" x14ac:dyDescent="0.15">
      <c r="B211" t="s">
        <v>208</v>
      </c>
      <c r="C211">
        <f>MAX(ABS(-G171-MIN(G167*$G$11,MAX(0,F156+G162+G166)+MAX(0,F157+G163))),ABS(-H171-MIN(H167*$G$11,MAX(0,G156+H162+H166)+MAX(0,G157+H163))),ABS(-I171-MIN(I167*$G$11,MAX(0,H156+I162+I166)+MAX(0,H157+I163))),ABS(-J171-MIN(J167*$G$11,MAX(0,I156+J162+J166)+MAX(0,I157+J163))),ABS(-K171-MIN(K167*$G$11,MAX(0,J156+K162+K166)+MAX(0,J157+K163))),MIN(G166,-G171),MIN(H166,-H171),MIN(I166,-I171),MIN(J166,-J171),MIN(K166,-K171))</f>
        <v>0</v>
      </c>
      <c r="D211">
        <f>0</f>
        <v>0</v>
      </c>
      <c r="E211">
        <v>0</v>
      </c>
      <c r="F211">
        <v>0.01</v>
      </c>
      <c r="G211" t="s">
        <v>399</v>
      </c>
      <c r="H211" t="s">
        <v>209</v>
      </c>
    </row>
    <row r="212" spans="2:8" x14ac:dyDescent="0.15">
      <c r="B212" t="s">
        <v>210</v>
      </c>
      <c r="C212">
        <f>MAX(0,$G$17-MIN(G142:K142))</f>
        <v>0</v>
      </c>
      <c r="D212">
        <f>0</f>
        <v>0</v>
      </c>
      <c r="E212">
        <v>0</v>
      </c>
      <c r="F212">
        <v>0.01</v>
      </c>
      <c r="G212" t="s">
        <v>399</v>
      </c>
      <c r="H212" t="s">
        <v>211</v>
      </c>
    </row>
    <row r="213" spans="2:8" x14ac:dyDescent="0.15">
      <c r="B213" t="s">
        <v>32</v>
      </c>
      <c r="C213">
        <f>MAX(0,MAX(G156:K156)-$G$8)</f>
        <v>0</v>
      </c>
      <c r="D213">
        <f>0</f>
        <v>0</v>
      </c>
      <c r="E213">
        <v>0</v>
      </c>
      <c r="F213">
        <v>0.01</v>
      </c>
      <c r="G213" t="s">
        <v>399</v>
      </c>
      <c r="H213" t="s">
        <v>212</v>
      </c>
    </row>
    <row r="214" spans="2:8" x14ac:dyDescent="0.15">
      <c r="B214" t="s">
        <v>213</v>
      </c>
      <c r="C214">
        <f>MAX(0,-MIN(G156:K158))</f>
        <v>0</v>
      </c>
      <c r="D214">
        <f>0</f>
        <v>0</v>
      </c>
      <c r="E214">
        <v>0</v>
      </c>
      <c r="F214">
        <v>0.01</v>
      </c>
      <c r="G214" t="s">
        <v>399</v>
      </c>
      <c r="H214" t="s">
        <v>214</v>
      </c>
    </row>
    <row r="215" spans="2:8" x14ac:dyDescent="0.15">
      <c r="B215" t="s">
        <v>215</v>
      </c>
      <c r="C215">
        <f>IF(AND($G$11&gt;=0,$G$11&lt;=1,$G$16&gt;=0,$G$16&lt;=1,$K$11&gt;=1900,$K$11&lt;=2100,MOD($K$11,1)=0,$K$14&gt;=1,$K$14&lt;=12,MOD($K$14,1)=0,$K$15&gt;=1,$K$15&lt;=31,MOD($K$15,1)=0,$K$13=1),0,1)</f>
        <v>0</v>
      </c>
      <c r="D215">
        <f>0</f>
        <v>0</v>
      </c>
      <c r="E215">
        <v>0</v>
      </c>
      <c r="F215">
        <v>0.01</v>
      </c>
      <c r="G215" t="s">
        <v>399</v>
      </c>
      <c r="H215" t="s">
        <v>216</v>
      </c>
    </row>
    <row r="216" spans="2:8" x14ac:dyDescent="0.15">
      <c r="B216" t="s">
        <v>217</v>
      </c>
      <c r="C216">
        <f>MAX(ABS(G105-G177),ABS(H105-H177),ABS(I105-I177),ABS(J105-J177),ABS(K105-K177))</f>
        <v>0</v>
      </c>
      <c r="D216">
        <v>0</v>
      </c>
      <c r="E216">
        <f>C216-D216</f>
        <v>0</v>
      </c>
      <c r="F216">
        <v>0.01</v>
      </c>
      <c r="G216" t="str">
        <f>IF(ABS(E216)&lt;=F216,"OK","ERROR")</f>
        <v>OK</v>
      </c>
      <c r="H216" t="s">
        <v>218</v>
      </c>
    </row>
    <row r="217" spans="2:8" x14ac:dyDescent="0.15">
      <c r="B217" t="s">
        <v>219</v>
      </c>
      <c r="G217" t="str">
        <f>IF(COUNTIF(G201:G216,"OK")+COUNTIF(G220:G226,"OK")=23,"PASS","ERROR")</f>
        <v>PASS</v>
      </c>
      <c r="H217" t="s">
        <v>220</v>
      </c>
    </row>
    <row r="218" spans="2:8" x14ac:dyDescent="0.15">
      <c r="B218" t="s">
        <v>221</v>
      </c>
      <c r="G218" t="str">
        <f>"NEEDS INPUT"</f>
        <v>NEEDS INPUT</v>
      </c>
      <c r="H218" t="s">
        <v>222</v>
      </c>
    </row>
    <row r="219" spans="2:8" x14ac:dyDescent="0.15">
      <c r="B219" t="s">
        <v>223</v>
      </c>
    </row>
    <row r="220" spans="2:8" x14ac:dyDescent="0.15">
      <c r="B220" t="s">
        <v>224</v>
      </c>
      <c r="C220">
        <f>IF(-10&gt;0,-(-10)*$G$16,0)</f>
        <v>0</v>
      </c>
      <c r="D220">
        <f>0</f>
        <v>0</v>
      </c>
      <c r="E220">
        <f>C220-D220</f>
        <v>0</v>
      </c>
      <c r="F220">
        <v>0.01</v>
      </c>
      <c r="G220" t="str">
        <f>IF(ABS(E220)&lt;=F220,"OK","ERROR")</f>
        <v>OK</v>
      </c>
      <c r="H220" t="s">
        <v>225</v>
      </c>
    </row>
    <row r="221" spans="2:8" x14ac:dyDescent="0.15">
      <c r="B221" t="s">
        <v>226</v>
      </c>
      <c r="C221">
        <f>IF(10&gt;0,-10*$G$16,0)</f>
        <v>-2.5</v>
      </c>
      <c r="D221">
        <f>-10*$G$16</f>
        <v>-2.5</v>
      </c>
      <c r="E221">
        <v>0</v>
      </c>
      <c r="F221">
        <v>0.01</v>
      </c>
      <c r="G221" t="s">
        <v>399</v>
      </c>
      <c r="H221" t="s">
        <v>227</v>
      </c>
    </row>
    <row r="222" spans="2:8" x14ac:dyDescent="0.15">
      <c r="B222" t="s">
        <v>228</v>
      </c>
      <c r="C222">
        <f>MIN(20,40*50%)+MIN(480,MAX(0,40*50%-MIN(20,40*50%)))</f>
        <v>20</v>
      </c>
      <c r="D222">
        <f>20</f>
        <v>20</v>
      </c>
      <c r="E222">
        <v>0</v>
      </c>
      <c r="F222">
        <v>0.01</v>
      </c>
      <c r="G222" t="s">
        <v>399</v>
      </c>
      <c r="H222" t="s">
        <v>229</v>
      </c>
    </row>
    <row r="223" spans="2:8" x14ac:dyDescent="0.15">
      <c r="B223" t="s">
        <v>230</v>
      </c>
      <c r="C223">
        <f>MAX(0,5-MIN(5,4.8))</f>
        <v>0.20000000000000018</v>
      </c>
      <c r="D223">
        <f>0.2</f>
        <v>0.2</v>
      </c>
      <c r="E223">
        <v>0</v>
      </c>
      <c r="F223">
        <v>0.01</v>
      </c>
      <c r="G223" t="s">
        <v>399</v>
      </c>
      <c r="H223" t="s">
        <v>231</v>
      </c>
    </row>
    <row r="224" spans="2:8" x14ac:dyDescent="0.15">
      <c r="B224" t="s">
        <v>232</v>
      </c>
      <c r="C224">
        <f>MIN(MAX(0,10-(10-25)),300)</f>
        <v>25</v>
      </c>
      <c r="D224">
        <f>25</f>
        <v>25</v>
      </c>
      <c r="E224">
        <v>0</v>
      </c>
      <c r="F224">
        <v>0.01</v>
      </c>
      <c r="G224" t="s">
        <v>399</v>
      </c>
      <c r="H224" t="s">
        <v>233</v>
      </c>
    </row>
    <row r="225" spans="2:8" x14ac:dyDescent="0.15">
      <c r="B225" t="s">
        <v>234</v>
      </c>
      <c r="C225">
        <f>MAX(ABS(SUM(G192:K192)),ABS(SUM(G193:K193)-(IF(G2=$K$8,G188,0)+IF(H2=$K$8,H188,0)+IF(I2=$K$8,I188,0)+IF(J2=$K$8,J188,0)+IF(K2=$K$8,K188,0))))</f>
        <v>0</v>
      </c>
      <c r="D225">
        <f>0</f>
        <v>0</v>
      </c>
      <c r="E225">
        <v>0</v>
      </c>
      <c r="F225">
        <v>0.01</v>
      </c>
      <c r="G225" t="s">
        <v>399</v>
      </c>
      <c r="H225" t="s">
        <v>235</v>
      </c>
    </row>
    <row r="226" spans="2:8" x14ac:dyDescent="0.15">
      <c r="B226" t="s">
        <v>236</v>
      </c>
      <c r="C226">
        <f>IF(AND(G190&gt;F190,H190&gt;G190,I190&gt;H190,J190&gt;I190,K190&gt;J190,F194&lt;0,COUNTIF(G194:K194,"&gt;0")=1),0,1)</f>
        <v>0</v>
      </c>
      <c r="D226">
        <f>0</f>
        <v>0</v>
      </c>
      <c r="E226">
        <v>0</v>
      </c>
      <c r="F226">
        <v>0</v>
      </c>
      <c r="G226" t="s">
        <v>399</v>
      </c>
      <c r="H226" t="s">
        <v>237</v>
      </c>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7"/>
  <sheetViews>
    <sheetView zoomScaleNormal="100" workbookViewId="0"/>
  </sheetViews>
  <sheetFormatPr baseColWidth="10" defaultColWidth="8.6640625" defaultRowHeight="13" x14ac:dyDescent="0.15"/>
  <sheetData>
    <row r="1" spans="1:10" ht="18" x14ac:dyDescent="0.2">
      <c r="A1" s="190" t="s">
        <v>400</v>
      </c>
    </row>
    <row r="2" spans="1:10" x14ac:dyDescent="0.15">
      <c r="A2" t="s">
        <v>401</v>
      </c>
    </row>
    <row r="4" spans="1:10" x14ac:dyDescent="0.15">
      <c r="A4" t="s">
        <v>240</v>
      </c>
      <c r="B4" t="s">
        <v>241</v>
      </c>
      <c r="C4" t="s">
        <v>242</v>
      </c>
      <c r="D4" t="s">
        <v>243</v>
      </c>
      <c r="E4" t="s">
        <v>244</v>
      </c>
      <c r="F4" t="s">
        <v>245</v>
      </c>
      <c r="G4" t="s">
        <v>246</v>
      </c>
      <c r="H4" t="s">
        <v>247</v>
      </c>
      <c r="I4" t="s">
        <v>248</v>
      </c>
      <c r="J4" t="s">
        <v>249</v>
      </c>
    </row>
    <row r="5" spans="1:10" x14ac:dyDescent="0.15">
      <c r="A5" t="s">
        <v>108</v>
      </c>
      <c r="B5">
        <v>1598.1</v>
      </c>
      <c r="C5">
        <v>1577.3</v>
      </c>
      <c r="D5">
        <v>1716.2</v>
      </c>
      <c r="E5">
        <v>1939</v>
      </c>
      <c r="F5">
        <f>'5% Downside - LBO Model'!G89</f>
        <v>2035.95</v>
      </c>
      <c r="G5">
        <f>'5% Downside - LBO Model'!H89</f>
        <v>2137.7474999999999</v>
      </c>
      <c r="H5">
        <f>'5% Downside - LBO Model'!I89</f>
        <v>2244.6348750000002</v>
      </c>
      <c r="I5">
        <f>'5% Downside - LBO Model'!J89</f>
        <v>2356.8666187500003</v>
      </c>
      <c r="J5">
        <f>'5% Downside - LBO Model'!K89</f>
        <v>2474.7099496875003</v>
      </c>
    </row>
    <row r="6" spans="1:10" x14ac:dyDescent="0.15">
      <c r="A6" t="s">
        <v>250</v>
      </c>
      <c r="B6">
        <f>B8-B5</f>
        <v>1941.9</v>
      </c>
      <c r="C6">
        <f>C8-C5</f>
        <v>1916.7</v>
      </c>
      <c r="D6">
        <f>D8-D5</f>
        <v>2082</v>
      </c>
      <c r="E6">
        <v>2088.5</v>
      </c>
      <c r="F6">
        <f>'5% Downside - LBO Model'!G90</f>
        <v>2192.9250000000002</v>
      </c>
      <c r="G6">
        <f>'5% Downside - LBO Model'!H90</f>
        <v>2302.5712500000004</v>
      </c>
      <c r="H6">
        <f>'5% Downside - LBO Model'!I90</f>
        <v>2417.6998125000005</v>
      </c>
      <c r="I6">
        <f>'5% Downside - LBO Model'!J90</f>
        <v>2538.5848031250007</v>
      </c>
      <c r="J6">
        <f>'5% Downside - LBO Model'!K90</f>
        <v>2665.5140432812509</v>
      </c>
    </row>
    <row r="7" spans="1:10" x14ac:dyDescent="0.15">
      <c r="A7" t="s">
        <v>47</v>
      </c>
      <c r="B7">
        <v>0</v>
      </c>
      <c r="C7">
        <v>0</v>
      </c>
      <c r="D7">
        <v>0</v>
      </c>
      <c r="E7">
        <v>0</v>
      </c>
      <c r="F7">
        <v>0</v>
      </c>
      <c r="G7">
        <v>0</v>
      </c>
      <c r="H7">
        <v>0</v>
      </c>
      <c r="I7">
        <v>0</v>
      </c>
      <c r="J7">
        <v>0</v>
      </c>
    </row>
    <row r="8" spans="1:10" x14ac:dyDescent="0.15">
      <c r="A8" t="s">
        <v>251</v>
      </c>
      <c r="B8">
        <v>3540</v>
      </c>
      <c r="C8">
        <v>3494</v>
      </c>
      <c r="D8">
        <v>3798.2</v>
      </c>
      <c r="E8">
        <v>4027.5</v>
      </c>
      <c r="F8">
        <f>SUM(F5:F7)</f>
        <v>4228.875</v>
      </c>
      <c r="G8">
        <f>SUM(G5:G7)</f>
        <v>4440.3187500000004</v>
      </c>
      <c r="H8">
        <f>SUM(H5:H7)</f>
        <v>4662.3346875000007</v>
      </c>
      <c r="I8">
        <f>SUM(I5:I7)</f>
        <v>4895.451421875001</v>
      </c>
      <c r="J8">
        <f>SUM(J5:J7)</f>
        <v>5140.2239929687512</v>
      </c>
    </row>
    <row r="9" spans="1:10" x14ac:dyDescent="0.15">
      <c r="A9" t="s">
        <v>252</v>
      </c>
      <c r="B9">
        <f>0</f>
        <v>0</v>
      </c>
      <c r="C9">
        <f t="shared" ref="C9:J9" si="0">C8/B8-1</f>
        <v>-1.2994350282485856E-2</v>
      </c>
      <c r="D9">
        <f t="shared" si="0"/>
        <v>8.7063537492844789E-2</v>
      </c>
      <c r="E9">
        <f t="shared" si="0"/>
        <v>6.0370701911431679E-2</v>
      </c>
      <c r="F9">
        <f t="shared" si="0"/>
        <v>5.0000000000000044E-2</v>
      </c>
      <c r="G9">
        <f t="shared" si="0"/>
        <v>5.0000000000000044E-2</v>
      </c>
      <c r="H9">
        <f t="shared" si="0"/>
        <v>5.0000000000000044E-2</v>
      </c>
      <c r="I9">
        <f t="shared" si="0"/>
        <v>5.0000000000000044E-2</v>
      </c>
      <c r="J9">
        <f t="shared" si="0"/>
        <v>5.0000000000000044E-2</v>
      </c>
    </row>
    <row r="11" spans="1:10" x14ac:dyDescent="0.15">
      <c r="A11" t="s">
        <v>253</v>
      </c>
      <c r="B11" t="s">
        <v>254</v>
      </c>
      <c r="C11" t="s">
        <v>255</v>
      </c>
      <c r="D11" t="s">
        <v>256</v>
      </c>
    </row>
    <row r="12" spans="1:10" x14ac:dyDescent="0.15">
      <c r="A12" t="s">
        <v>108</v>
      </c>
      <c r="B12">
        <v>1716.2</v>
      </c>
      <c r="C12">
        <v>0.45184561107893201</v>
      </c>
      <c r="D12">
        <v>0.52500000000000002</v>
      </c>
    </row>
    <row r="13" spans="1:10" x14ac:dyDescent="0.15">
      <c r="A13" t="s">
        <v>250</v>
      </c>
      <c r="B13">
        <v>2082</v>
      </c>
      <c r="C13">
        <v>0.54815438892106805</v>
      </c>
      <c r="D13">
        <v>0.48599999999999999</v>
      </c>
    </row>
    <row r="14" spans="1:10" x14ac:dyDescent="0.15">
      <c r="A14" t="s">
        <v>257</v>
      </c>
      <c r="B14">
        <v>1912.5</v>
      </c>
      <c r="C14">
        <v>0.50352798694118295</v>
      </c>
    </row>
    <row r="16" spans="1:10" x14ac:dyDescent="0.15">
      <c r="A16" t="s">
        <v>258</v>
      </c>
    </row>
    <row r="17" spans="1:10" x14ac:dyDescent="0.15">
      <c r="A17" t="s">
        <v>259</v>
      </c>
      <c r="E17">
        <v>0.17249999999999999</v>
      </c>
      <c r="F17">
        <v>0.186</v>
      </c>
      <c r="G17">
        <v>0.2</v>
      </c>
      <c r="H17">
        <v>0.2</v>
      </c>
      <c r="I17">
        <v>0.2</v>
      </c>
      <c r="J17">
        <v>0.2</v>
      </c>
    </row>
    <row r="18" spans="1:10" x14ac:dyDescent="0.15">
      <c r="A18" t="s">
        <v>260</v>
      </c>
      <c r="F18">
        <v>0.05</v>
      </c>
      <c r="G18">
        <v>0.05</v>
      </c>
      <c r="H18">
        <v>0.05</v>
      </c>
      <c r="I18">
        <v>0.05</v>
      </c>
      <c r="J18">
        <v>0.05</v>
      </c>
    </row>
    <row r="20" spans="1:10" x14ac:dyDescent="0.15">
      <c r="A20" t="s">
        <v>261</v>
      </c>
    </row>
    <row r="21" spans="1:10" x14ac:dyDescent="0.15">
      <c r="A21" t="s">
        <v>262</v>
      </c>
    </row>
    <row r="22" spans="1:10" x14ac:dyDescent="0.15">
      <c r="A22" t="s">
        <v>263</v>
      </c>
    </row>
    <row r="23" spans="1:10" x14ac:dyDescent="0.15">
      <c r="A23" t="s">
        <v>264</v>
      </c>
    </row>
    <row r="24" spans="1:10" x14ac:dyDescent="0.15">
      <c r="A24" t="s">
        <v>402</v>
      </c>
    </row>
    <row r="25" spans="1:10" x14ac:dyDescent="0.15">
      <c r="A25" t="s">
        <v>266</v>
      </c>
    </row>
    <row r="26" spans="1:10" x14ac:dyDescent="0.15">
      <c r="A26" t="s">
        <v>267</v>
      </c>
    </row>
    <row r="27" spans="1:10" x14ac:dyDescent="0.15">
      <c r="A27" t="s">
        <v>268</v>
      </c>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26"/>
  <sheetViews>
    <sheetView topLeftCell="A162" zoomScaleNormal="100" workbookViewId="0"/>
  </sheetViews>
  <sheetFormatPr baseColWidth="10" defaultColWidth="8.6640625" defaultRowHeight="13" x14ac:dyDescent="0.15"/>
  <sheetData>
    <row r="1" spans="1:11" ht="18" x14ac:dyDescent="0.2">
      <c r="A1" s="190" t="s">
        <v>403</v>
      </c>
      <c r="G1" t="s">
        <v>23</v>
      </c>
      <c r="I1" t="str">
        <f>G217</f>
        <v>PASS</v>
      </c>
    </row>
    <row r="2" spans="1:11" x14ac:dyDescent="0.15">
      <c r="A2" t="s">
        <v>24</v>
      </c>
      <c r="C2" t="str">
        <f>""</f>
        <v/>
      </c>
      <c r="D2">
        <f>$K$11-2</f>
        <v>2023</v>
      </c>
      <c r="E2">
        <f>D2+1</f>
        <v>2024</v>
      </c>
      <c r="F2">
        <f>E2+1</f>
        <v>2025</v>
      </c>
      <c r="G2">
        <v>2027</v>
      </c>
      <c r="H2">
        <v>2028</v>
      </c>
      <c r="I2">
        <v>2029</v>
      </c>
      <c r="J2">
        <v>2030</v>
      </c>
      <c r="K2">
        <v>2031</v>
      </c>
    </row>
    <row r="3" spans="1:11" x14ac:dyDescent="0.15">
      <c r="A3" t="s">
        <v>404</v>
      </c>
      <c r="C3" t="str">
        <f>""</f>
        <v/>
      </c>
      <c r="D3" t="str">
        <f>IF(D$2&lt;=$K$11,"A","E")</f>
        <v>A</v>
      </c>
      <c r="E3" t="s">
        <v>396</v>
      </c>
      <c r="F3" t="s">
        <v>396</v>
      </c>
      <c r="G3" t="s">
        <v>397</v>
      </c>
      <c r="H3" t="s">
        <v>397</v>
      </c>
      <c r="I3" t="s">
        <v>397</v>
      </c>
      <c r="J3" t="s">
        <v>397</v>
      </c>
      <c r="K3" t="s">
        <v>397</v>
      </c>
    </row>
    <row r="5" spans="1:11" x14ac:dyDescent="0.15">
      <c r="B5" t="s">
        <v>26</v>
      </c>
    </row>
    <row r="7" spans="1:11" x14ac:dyDescent="0.15">
      <c r="B7" t="s">
        <v>27</v>
      </c>
      <c r="E7" t="s">
        <v>28</v>
      </c>
      <c r="I7" t="s">
        <v>29</v>
      </c>
    </row>
    <row r="8" spans="1:11" x14ac:dyDescent="0.15">
      <c r="B8" t="s">
        <v>30</v>
      </c>
      <c r="C8" t="s">
        <v>31</v>
      </c>
      <c r="E8" t="s">
        <v>32</v>
      </c>
      <c r="G8">
        <v>300</v>
      </c>
      <c r="I8" t="s">
        <v>33</v>
      </c>
      <c r="K8">
        <f>K$2</f>
        <v>2031</v>
      </c>
    </row>
    <row r="9" spans="1:11" x14ac:dyDescent="0.15">
      <c r="B9" t="s">
        <v>34</v>
      </c>
      <c r="C9" t="s">
        <v>35</v>
      </c>
      <c r="E9" t="s">
        <v>36</v>
      </c>
      <c r="G9">
        <v>0.01</v>
      </c>
      <c r="I9" t="s">
        <v>37</v>
      </c>
      <c r="K9">
        <f>C20</f>
        <v>12.951876654927849</v>
      </c>
    </row>
    <row r="10" spans="1:11" x14ac:dyDescent="0.15">
      <c r="B10" t="s">
        <v>38</v>
      </c>
      <c r="C10">
        <v>110.05</v>
      </c>
      <c r="E10" t="s">
        <v>39</v>
      </c>
      <c r="G10">
        <v>0</v>
      </c>
      <c r="I10" t="s">
        <v>40</v>
      </c>
      <c r="K10">
        <v>0.03</v>
      </c>
    </row>
    <row r="11" spans="1:11" x14ac:dyDescent="0.15">
      <c r="B11" t="s">
        <v>41</v>
      </c>
      <c r="C11">
        <v>0.2</v>
      </c>
      <c r="E11" t="s">
        <v>42</v>
      </c>
      <c r="G11">
        <v>1</v>
      </c>
      <c r="I11" t="s">
        <v>43</v>
      </c>
      <c r="K11">
        <v>2025</v>
      </c>
    </row>
    <row r="12" spans="1:11" x14ac:dyDescent="0.15">
      <c r="B12" t="s">
        <v>44</v>
      </c>
      <c r="C12">
        <f>C10*(1+C11)</f>
        <v>132.06</v>
      </c>
      <c r="I12" t="s">
        <v>45</v>
      </c>
    </row>
    <row r="13" spans="1:11" x14ac:dyDescent="0.15">
      <c r="B13" t="s">
        <v>46</v>
      </c>
      <c r="C13">
        <v>51.876817000000003</v>
      </c>
      <c r="E13" t="s">
        <v>47</v>
      </c>
      <c r="I13" t="str">
        <f>"Controlled Circularity "&amp;IF(K13=1,"On","Off")</f>
        <v>Controlled Circularity On</v>
      </c>
      <c r="K13">
        <v>1</v>
      </c>
    </row>
    <row r="14" spans="1:11" x14ac:dyDescent="0.15">
      <c r="B14" t="s">
        <v>48</v>
      </c>
      <c r="C14">
        <f>C12*C13</f>
        <v>6850.8524530200002</v>
      </c>
      <c r="E14" t="s">
        <v>49</v>
      </c>
      <c r="G14">
        <v>0.04</v>
      </c>
      <c r="I14" t="s">
        <v>50</v>
      </c>
      <c r="K14">
        <v>12</v>
      </c>
    </row>
    <row r="15" spans="1:11" x14ac:dyDescent="0.15">
      <c r="B15" t="s">
        <v>51</v>
      </c>
      <c r="C15">
        <v>1679</v>
      </c>
      <c r="E15" t="s">
        <v>52</v>
      </c>
      <c r="G15">
        <v>0.21</v>
      </c>
      <c r="I15" t="s">
        <v>53</v>
      </c>
      <c r="K15">
        <v>31</v>
      </c>
    </row>
    <row r="16" spans="1:11" x14ac:dyDescent="0.15">
      <c r="B16" t="s">
        <v>54</v>
      </c>
      <c r="C16">
        <v>0</v>
      </c>
      <c r="E16" t="s">
        <v>55</v>
      </c>
      <c r="G16">
        <v>0.25</v>
      </c>
    </row>
    <row r="17" spans="2:11" x14ac:dyDescent="0.15">
      <c r="B17" t="s">
        <v>56</v>
      </c>
      <c r="C17">
        <v>-93</v>
      </c>
      <c r="E17" t="s">
        <v>57</v>
      </c>
      <c r="G17">
        <v>50</v>
      </c>
    </row>
    <row r="18" spans="2:11" x14ac:dyDescent="0.15">
      <c r="B18" t="s">
        <v>58</v>
      </c>
      <c r="C18">
        <f>SUM(C14:C17)</f>
        <v>8436.8524530200011</v>
      </c>
    </row>
    <row r="19" spans="2:11" x14ac:dyDescent="0.15">
      <c r="B19" t="s">
        <v>59</v>
      </c>
      <c r="C19">
        <v>651.4</v>
      </c>
    </row>
    <row r="20" spans="2:11" x14ac:dyDescent="0.15">
      <c r="B20" t="s">
        <v>60</v>
      </c>
      <c r="C20">
        <f>C18/C19</f>
        <v>12.951876654927849</v>
      </c>
    </row>
    <row r="22" spans="2:11" x14ac:dyDescent="0.15">
      <c r="B22" t="s">
        <v>61</v>
      </c>
    </row>
    <row r="24" spans="2:11" x14ac:dyDescent="0.15">
      <c r="B24" t="s">
        <v>62</v>
      </c>
      <c r="C24" t="s">
        <v>63</v>
      </c>
      <c r="D24" t="s">
        <v>64</v>
      </c>
      <c r="E24" t="s">
        <v>65</v>
      </c>
      <c r="F24" t="s">
        <v>66</v>
      </c>
      <c r="G24" t="s">
        <v>67</v>
      </c>
      <c r="H24" t="s">
        <v>68</v>
      </c>
      <c r="I24" t="s">
        <v>69</v>
      </c>
      <c r="J24" t="s">
        <v>70</v>
      </c>
      <c r="K24" t="s">
        <v>71</v>
      </c>
    </row>
    <row r="25" spans="2:11" x14ac:dyDescent="0.15">
      <c r="B25" t="str">
        <f>+"New Revolving Credit Facility ($"&amp;G8&amp;")"</f>
        <v>New Revolving Credit Facility ($300)</v>
      </c>
      <c r="C25">
        <v>0</v>
      </c>
      <c r="D25">
        <f>+C25/$C$19</f>
        <v>0</v>
      </c>
      <c r="E25">
        <v>0</v>
      </c>
      <c r="F25">
        <v>5</v>
      </c>
      <c r="G25">
        <v>350</v>
      </c>
      <c r="H25">
        <v>0</v>
      </c>
      <c r="I25">
        <f>+$C25*H25</f>
        <v>0</v>
      </c>
      <c r="J25">
        <v>1.2500000000000001E-2</v>
      </c>
      <c r="K25">
        <f>+$G8*J25</f>
        <v>3.75</v>
      </c>
    </row>
    <row r="26" spans="2:11" x14ac:dyDescent="0.15">
      <c r="B26" t="s">
        <v>72</v>
      </c>
      <c r="C26">
        <f>$C$19*4.5</f>
        <v>2931.2999999999997</v>
      </c>
      <c r="D26">
        <f>+C26/$C$19</f>
        <v>4.5</v>
      </c>
      <c r="E26">
        <v>0.01</v>
      </c>
      <c r="F26">
        <v>7</v>
      </c>
      <c r="G26">
        <v>375</v>
      </c>
      <c r="H26">
        <v>0.01</v>
      </c>
      <c r="I26">
        <f>+$C26*H26</f>
        <v>29.312999999999999</v>
      </c>
      <c r="J26">
        <v>2.2499999999999999E-2</v>
      </c>
      <c r="K26">
        <f>+$C26*J26</f>
        <v>65.954249999999988</v>
      </c>
    </row>
    <row r="27" spans="2:11" x14ac:dyDescent="0.15">
      <c r="B27" t="s">
        <v>73</v>
      </c>
      <c r="C27">
        <v>355</v>
      </c>
      <c r="D27">
        <f>+C27/$C$19</f>
        <v>0.54498004298434144</v>
      </c>
      <c r="E27">
        <v>0</v>
      </c>
      <c r="F27">
        <v>8</v>
      </c>
      <c r="G27">
        <v>7.4999999999999997E-2</v>
      </c>
      <c r="H27">
        <v>0</v>
      </c>
      <c r="I27">
        <f>+$C27*H27</f>
        <v>0</v>
      </c>
      <c r="J27">
        <v>0.03</v>
      </c>
      <c r="K27">
        <f>+$C27*J27</f>
        <v>10.65</v>
      </c>
    </row>
    <row r="28" spans="2:11" x14ac:dyDescent="0.15">
      <c r="B28" t="s">
        <v>74</v>
      </c>
      <c r="C28">
        <f>+C17*-1</f>
        <v>93</v>
      </c>
      <c r="D28">
        <f>+C28/$C$19</f>
        <v>0.14276941971139084</v>
      </c>
    </row>
    <row r="29" spans="2:11" x14ac:dyDescent="0.15">
      <c r="B29" t="s">
        <v>75</v>
      </c>
      <c r="C29">
        <f>+C38-SUM(C25:C28)</f>
        <v>5394.5882275502026</v>
      </c>
      <c r="D29">
        <f>+C29/$C$19</f>
        <v>8.2815293637553005</v>
      </c>
    </row>
    <row r="30" spans="2:11" x14ac:dyDescent="0.15">
      <c r="B30" t="s">
        <v>76</v>
      </c>
      <c r="C30">
        <f>+SUM(C25:C29)</f>
        <v>8773.8882275502019</v>
      </c>
      <c r="D30">
        <f>+SUM(D25:D29)</f>
        <v>13.469278826451031</v>
      </c>
      <c r="I30">
        <f>+SUM(I25:I29)</f>
        <v>29.312999999999999</v>
      </c>
      <c r="K30">
        <f>+SUM(K25:K29)</f>
        <v>80.354249999999993</v>
      </c>
    </row>
    <row r="32" spans="2:11" x14ac:dyDescent="0.15">
      <c r="B32" t="s">
        <v>77</v>
      </c>
      <c r="C32" t="s">
        <v>63</v>
      </c>
      <c r="D32" t="s">
        <v>64</v>
      </c>
    </row>
    <row r="33" spans="2:11" x14ac:dyDescent="0.15">
      <c r="B33" t="s">
        <v>78</v>
      </c>
      <c r="C33">
        <f>+C14</f>
        <v>6850.8524530200002</v>
      </c>
      <c r="D33">
        <f>+C33/$C$19</f>
        <v>10.517120744580904</v>
      </c>
    </row>
    <row r="34" spans="2:11" x14ac:dyDescent="0.15">
      <c r="B34" t="s">
        <v>79</v>
      </c>
      <c r="C34">
        <f>+SUM(C15:C16)</f>
        <v>1679</v>
      </c>
      <c r="D34">
        <f>+C34/$C$19</f>
        <v>2.5775253300583358</v>
      </c>
    </row>
    <row r="35" spans="2:11" x14ac:dyDescent="0.15">
      <c r="B35" t="s">
        <v>80</v>
      </c>
      <c r="C35">
        <f>+G17</f>
        <v>50</v>
      </c>
      <c r="D35">
        <f>+C35/$C$19</f>
        <v>7.6757752533005832E-2</v>
      </c>
    </row>
    <row r="36" spans="2:11" x14ac:dyDescent="0.15">
      <c r="B36" t="s">
        <v>81</v>
      </c>
      <c r="C36">
        <f>$C$18*1%</f>
        <v>84.36852453020002</v>
      </c>
      <c r="D36">
        <f>+C36/$C$19</f>
        <v>0.12951876654927852</v>
      </c>
    </row>
    <row r="37" spans="2:11" x14ac:dyDescent="0.15">
      <c r="B37" t="s">
        <v>82</v>
      </c>
      <c r="C37">
        <f>+SUM(I30,K30)</f>
        <v>109.66725</v>
      </c>
      <c r="D37">
        <f>+C37/$C$19</f>
        <v>0.16835623272950567</v>
      </c>
      <c r="E37" t="s">
        <v>83</v>
      </c>
    </row>
    <row r="38" spans="2:11" x14ac:dyDescent="0.15">
      <c r="B38" t="s">
        <v>84</v>
      </c>
      <c r="C38">
        <f>+SUM(C33:C37)</f>
        <v>8773.8882275502019</v>
      </c>
      <c r="D38">
        <f>+SUM(D33:D37)</f>
        <v>13.469278826451029</v>
      </c>
      <c r="E38" t="str">
        <f>IF(ABS(C38-C30)&lt;=0.01,"YES","NO")</f>
        <v>YES</v>
      </c>
    </row>
    <row r="40" spans="2:11" x14ac:dyDescent="0.15">
      <c r="B40" t="s">
        <v>85</v>
      </c>
    </row>
    <row r="42" spans="2:11" x14ac:dyDescent="0.15">
      <c r="B42" t="s">
        <v>86</v>
      </c>
    </row>
    <row r="44" spans="2:11" x14ac:dyDescent="0.15">
      <c r="C44" t="str">
        <f>""</f>
        <v/>
      </c>
      <c r="D44" t="str">
        <f t="shared" ref="D44:K44" si="0">D$2&amp;D$3</f>
        <v>2023A</v>
      </c>
      <c r="E44" t="str">
        <f t="shared" si="0"/>
        <v>2024A</v>
      </c>
      <c r="F44" t="str">
        <f t="shared" si="0"/>
        <v>2025A</v>
      </c>
      <c r="G44" t="str">
        <f t="shared" si="0"/>
        <v>2027E</v>
      </c>
      <c r="H44" t="str">
        <f t="shared" si="0"/>
        <v>2028E</v>
      </c>
      <c r="I44" t="str">
        <f t="shared" si="0"/>
        <v>2029E</v>
      </c>
      <c r="J44" t="str">
        <f t="shared" si="0"/>
        <v>2030E</v>
      </c>
      <c r="K44" t="str">
        <f t="shared" si="0"/>
        <v>2031E</v>
      </c>
    </row>
    <row r="45" spans="2:11" x14ac:dyDescent="0.15">
      <c r="B45" t="s">
        <v>87</v>
      </c>
      <c r="C45" t="str">
        <f>""</f>
        <v/>
      </c>
      <c r="D45" t="str">
        <f>""</f>
        <v/>
      </c>
      <c r="E45">
        <f>IFERROR(E89/D89-1,0)</f>
        <v>-1.3015455853826352E-2</v>
      </c>
      <c r="F45">
        <v>3.8961038961038898E-2</v>
      </c>
      <c r="G45">
        <v>7.0000000000000007E-2</v>
      </c>
      <c r="H45">
        <v>7.0000000000000007E-2</v>
      </c>
      <c r="I45">
        <v>7.0000000000000007E-2</v>
      </c>
      <c r="J45">
        <v>7.0000000000000007E-2</v>
      </c>
      <c r="K45">
        <v>7.0000000000000007E-2</v>
      </c>
    </row>
    <row r="46" spans="2:11" x14ac:dyDescent="0.15">
      <c r="B46" t="s">
        <v>88</v>
      </c>
      <c r="C46" t="str">
        <f>""</f>
        <v/>
      </c>
      <c r="D46" t="str">
        <f>""</f>
        <v/>
      </c>
      <c r="E46">
        <v>4.6195652173913103E-2</v>
      </c>
      <c r="F46">
        <v>3.8961038961038898E-2</v>
      </c>
      <c r="G46">
        <v>7.0000000000000007E-2</v>
      </c>
      <c r="H46">
        <v>7.0000000000000007E-2</v>
      </c>
      <c r="I46">
        <v>7.0000000000000007E-2</v>
      </c>
      <c r="J46">
        <v>7.0000000000000007E-2</v>
      </c>
      <c r="K46">
        <v>7.0000000000000007E-2</v>
      </c>
    </row>
    <row r="47" spans="2:11" x14ac:dyDescent="0.15">
      <c r="B47" t="s">
        <v>89</v>
      </c>
      <c r="C47" t="str">
        <f>""</f>
        <v/>
      </c>
      <c r="D47" t="str">
        <f>""</f>
        <v/>
      </c>
      <c r="E47">
        <v>4.6195652173913103E-2</v>
      </c>
      <c r="F47">
        <v>3.8961038961038898E-2</v>
      </c>
      <c r="G47">
        <v>0</v>
      </c>
      <c r="H47">
        <v>0</v>
      </c>
      <c r="I47">
        <v>0</v>
      </c>
      <c r="J47">
        <v>0</v>
      </c>
      <c r="K47">
        <v>0</v>
      </c>
    </row>
    <row r="48" spans="2:11" x14ac:dyDescent="0.15">
      <c r="B48" t="s">
        <v>90</v>
      </c>
      <c r="C48" t="str">
        <f>""</f>
        <v/>
      </c>
      <c r="D48" t="str">
        <f>""</f>
        <v/>
      </c>
      <c r="E48">
        <v>4.6195652173913103E-2</v>
      </c>
      <c r="F48">
        <v>3.8961038961038898E-2</v>
      </c>
      <c r="G48">
        <f>G92/'7% Stretch - Revenue Build'!E8-1</f>
        <v>7.0000000000000062E-2</v>
      </c>
      <c r="H48">
        <f>H92/G92-1</f>
        <v>7.0000000000000062E-2</v>
      </c>
      <c r="I48">
        <f>I92/H92-1</f>
        <v>7.0000000000000062E-2</v>
      </c>
      <c r="J48">
        <f>J92/I92-1</f>
        <v>7.0000000000000062E-2</v>
      </c>
      <c r="K48">
        <f>K92/J92-1</f>
        <v>7.0000000000000062E-2</v>
      </c>
    </row>
    <row r="50" spans="2:11" x14ac:dyDescent="0.15">
      <c r="B50" t="s">
        <v>91</v>
      </c>
      <c r="C50" t="str">
        <f>""</f>
        <v/>
      </c>
      <c r="D50">
        <v>0.35</v>
      </c>
      <c r="E50">
        <v>0.35</v>
      </c>
      <c r="F50">
        <v>0.35137696803749102</v>
      </c>
      <c r="G50">
        <v>0.35499999999999998</v>
      </c>
      <c r="H50">
        <v>0.35799999999999998</v>
      </c>
      <c r="I50">
        <v>0.35599999999999998</v>
      </c>
      <c r="J50">
        <v>0.35299999999999998</v>
      </c>
      <c r="K50">
        <v>0.35</v>
      </c>
    </row>
    <row r="52" spans="2:11" x14ac:dyDescent="0.15">
      <c r="B52" t="s">
        <v>92</v>
      </c>
      <c r="C52" t="str">
        <f>""</f>
        <v/>
      </c>
      <c r="D52">
        <v>0.259604519774011</v>
      </c>
      <c r="E52">
        <v>0.26159129937034897</v>
      </c>
      <c r="F52">
        <v>0.26338792059396599</v>
      </c>
      <c r="G52">
        <f>G50+G60-'7% Stretch - Revenue Build'!F17</f>
        <v>0.23399999999999999</v>
      </c>
      <c r="H52">
        <f>H50+H60-'7% Stretch - Revenue Build'!G17</f>
        <v>0.21999999999999997</v>
      </c>
      <c r="I52">
        <f>I50+I60-'7% Stretch - Revenue Build'!H17</f>
        <v>0.215</v>
      </c>
      <c r="J52">
        <f>J50+J60-'7% Stretch - Revenue Build'!I17</f>
        <v>0.20799999999999999</v>
      </c>
      <c r="K52">
        <f>K50+K60-'7% Stretch - Revenue Build'!J17</f>
        <v>0.19999999999999998</v>
      </c>
    </row>
    <row r="54" spans="2:11" x14ac:dyDescent="0.15">
      <c r="B54" t="s">
        <v>93</v>
      </c>
    </row>
    <row r="56" spans="2:11" x14ac:dyDescent="0.15">
      <c r="C56" t="str">
        <f>""</f>
        <v/>
      </c>
      <c r="D56" t="str">
        <f t="shared" ref="D56:K56" si="1">D$2&amp;D$3</f>
        <v>2023A</v>
      </c>
      <c r="E56" t="str">
        <f t="shared" si="1"/>
        <v>2024A</v>
      </c>
      <c r="F56" t="str">
        <f t="shared" si="1"/>
        <v>2025A</v>
      </c>
      <c r="G56" t="str">
        <f t="shared" si="1"/>
        <v>2027E</v>
      </c>
      <c r="H56" t="str">
        <f t="shared" si="1"/>
        <v>2028E</v>
      </c>
      <c r="I56" t="str">
        <f t="shared" si="1"/>
        <v>2029E</v>
      </c>
      <c r="J56" t="str">
        <f t="shared" si="1"/>
        <v>2030E</v>
      </c>
      <c r="K56" t="str">
        <f t="shared" si="1"/>
        <v>2031E</v>
      </c>
    </row>
    <row r="58" spans="2:11" x14ac:dyDescent="0.15">
      <c r="B58" t="s">
        <v>94</v>
      </c>
      <c r="C58" t="str">
        <f>""</f>
        <v/>
      </c>
      <c r="D58">
        <f>IFERROR(D114/D$92,0)</f>
        <v>2.6836158192090395E-2</v>
      </c>
      <c r="E58">
        <v>2.4327418431597001E-2</v>
      </c>
      <c r="F58">
        <v>3.2910325943868203E-2</v>
      </c>
      <c r="G58">
        <v>2.5000000000000001E-2</v>
      </c>
      <c r="H58">
        <v>2.5000000000000001E-2</v>
      </c>
      <c r="I58">
        <v>2.5000000000000001E-2</v>
      </c>
      <c r="J58">
        <v>2.5000000000000001E-2</v>
      </c>
      <c r="K58">
        <v>2.5000000000000001E-2</v>
      </c>
    </row>
    <row r="59" spans="2:11" x14ac:dyDescent="0.15">
      <c r="B59" t="s">
        <v>95</v>
      </c>
      <c r="C59" t="str">
        <f>""</f>
        <v/>
      </c>
      <c r="D59">
        <v>2.6836158192090401E-2</v>
      </c>
      <c r="E59">
        <v>2.4356038923869502E-2</v>
      </c>
      <c r="F59">
        <v>3.7175504186193503E-2</v>
      </c>
      <c r="G59">
        <v>0.04</v>
      </c>
      <c r="H59">
        <v>3.9E-2</v>
      </c>
      <c r="I59">
        <v>3.7999999999999999E-2</v>
      </c>
      <c r="J59">
        <v>3.6999999999999998E-2</v>
      </c>
      <c r="K59">
        <v>3.5000000000000003E-2</v>
      </c>
    </row>
    <row r="60" spans="2:11" x14ac:dyDescent="0.15">
      <c r="B60" t="s">
        <v>96</v>
      </c>
      <c r="C60" t="str">
        <f>""</f>
        <v/>
      </c>
      <c r="D60">
        <f t="shared" ref="D60:K60" si="2">SUM(D58:D59)</f>
        <v>5.3672316384180796E-2</v>
      </c>
      <c r="E60">
        <f t="shared" si="2"/>
        <v>4.8683457355466503E-2</v>
      </c>
      <c r="F60">
        <f t="shared" si="2"/>
        <v>7.0085830130061699E-2</v>
      </c>
      <c r="G60">
        <f t="shared" si="2"/>
        <v>6.5000000000000002E-2</v>
      </c>
      <c r="H60">
        <f t="shared" si="2"/>
        <v>6.4000000000000001E-2</v>
      </c>
      <c r="I60">
        <f t="shared" si="2"/>
        <v>6.3E-2</v>
      </c>
      <c r="J60">
        <f t="shared" si="2"/>
        <v>6.2E-2</v>
      </c>
      <c r="K60">
        <f t="shared" si="2"/>
        <v>6.0000000000000005E-2</v>
      </c>
    </row>
    <row r="62" spans="2:11" x14ac:dyDescent="0.15">
      <c r="B62" t="s">
        <v>97</v>
      </c>
      <c r="C62" t="str">
        <f>""</f>
        <v/>
      </c>
      <c r="D62">
        <f>IFERROR(D145/D$92,0)</f>
        <v>1.8361581920903956E-2</v>
      </c>
      <c r="E62">
        <v>1.7000000000000001E-2</v>
      </c>
      <c r="F62">
        <v>1.4E-2</v>
      </c>
      <c r="G62">
        <v>1.4999999999999999E-2</v>
      </c>
      <c r="H62">
        <v>1.4999999999999999E-2</v>
      </c>
      <c r="I62">
        <v>1.4999999999999999E-2</v>
      </c>
      <c r="J62">
        <v>1.4999999999999999E-2</v>
      </c>
      <c r="K62">
        <v>1.4999999999999999E-2</v>
      </c>
    </row>
    <row r="63" spans="2:11" x14ac:dyDescent="0.15">
      <c r="B63" t="s">
        <v>98</v>
      </c>
      <c r="C63" t="str">
        <f>""</f>
        <v/>
      </c>
      <c r="D63">
        <v>1.8700000000000001E-2</v>
      </c>
      <c r="E63">
        <v>1.7299999999999999E-2</v>
      </c>
      <c r="F63">
        <v>1.3299999999999999E-2</v>
      </c>
      <c r="G63">
        <v>1.4999999999999999E-2</v>
      </c>
      <c r="H63">
        <v>1.4999999999999999E-2</v>
      </c>
      <c r="I63">
        <v>1.4999999999999999E-2</v>
      </c>
      <c r="J63">
        <v>1.4999999999999999E-2</v>
      </c>
      <c r="K63">
        <v>1.4999999999999999E-2</v>
      </c>
    </row>
    <row r="64" spans="2:11" x14ac:dyDescent="0.15">
      <c r="B64" t="s">
        <v>99</v>
      </c>
      <c r="C64" t="str">
        <f>""</f>
        <v/>
      </c>
      <c r="D64">
        <f t="shared" ref="D64:K64" si="3">SUM(D62:D63)</f>
        <v>3.706158192090396E-2</v>
      </c>
      <c r="E64">
        <f t="shared" si="3"/>
        <v>3.4299999999999997E-2</v>
      </c>
      <c r="F64">
        <f t="shared" si="3"/>
        <v>2.7299999999999998E-2</v>
      </c>
      <c r="G64">
        <f t="shared" si="3"/>
        <v>0.03</v>
      </c>
      <c r="H64">
        <f t="shared" si="3"/>
        <v>0.03</v>
      </c>
      <c r="I64">
        <f t="shared" si="3"/>
        <v>0.03</v>
      </c>
      <c r="J64">
        <f t="shared" si="3"/>
        <v>0.03</v>
      </c>
      <c r="K64">
        <f t="shared" si="3"/>
        <v>0.03</v>
      </c>
    </row>
    <row r="66" spans="2:11" x14ac:dyDescent="0.15">
      <c r="B66" t="s">
        <v>100</v>
      </c>
      <c r="C66" t="str">
        <f>""</f>
        <v/>
      </c>
      <c r="D66">
        <v>6.5000000000000002E-2</v>
      </c>
      <c r="E66">
        <v>6.5000000000000002E-2</v>
      </c>
      <c r="F66">
        <v>6.5000000000000002E-2</v>
      </c>
      <c r="G66">
        <v>6.5000000000000002E-2</v>
      </c>
      <c r="H66">
        <v>6.5000000000000002E-2</v>
      </c>
      <c r="I66">
        <v>6.5000000000000002E-2</v>
      </c>
      <c r="J66">
        <v>6.5000000000000002E-2</v>
      </c>
      <c r="K66">
        <v>6.5000000000000002E-2</v>
      </c>
    </row>
    <row r="68" spans="2:11" x14ac:dyDescent="0.15">
      <c r="B68" t="s">
        <v>101</v>
      </c>
    </row>
    <row r="69" spans="2:11" x14ac:dyDescent="0.15">
      <c r="B69" t="s">
        <v>102</v>
      </c>
      <c r="F69">
        <v>3.9300000000000002E-2</v>
      </c>
      <c r="G69">
        <v>3.9800000000000002E-2</v>
      </c>
      <c r="H69">
        <v>3.9849999999999997E-2</v>
      </c>
      <c r="I69">
        <v>4.0399999999999998E-2</v>
      </c>
      <c r="J69">
        <v>4.1450000000000001E-2</v>
      </c>
      <c r="K69">
        <v>4.2750000000000003E-2</v>
      </c>
    </row>
    <row r="71" spans="2:11" x14ac:dyDescent="0.15">
      <c r="B71" t="s">
        <v>103</v>
      </c>
    </row>
    <row r="73" spans="2:11" x14ac:dyDescent="0.15">
      <c r="G73" t="str">
        <f>G$2&amp;G$3</f>
        <v>2027E</v>
      </c>
      <c r="H73" t="str">
        <f>H$2&amp;H$3</f>
        <v>2028E</v>
      </c>
      <c r="I73" t="str">
        <f>I$2&amp;I$3</f>
        <v>2029E</v>
      </c>
      <c r="J73" t="str">
        <f>J$2&amp;J$3</f>
        <v>2030E</v>
      </c>
      <c r="K73" t="str">
        <f>K$2&amp;K$3</f>
        <v>2031E</v>
      </c>
    </row>
    <row r="74" spans="2:11" x14ac:dyDescent="0.15">
      <c r="B74" t="s">
        <v>104</v>
      </c>
      <c r="C74" t="s">
        <v>66</v>
      </c>
      <c r="D74" t="s">
        <v>69</v>
      </c>
    </row>
    <row r="75" spans="2:11" x14ac:dyDescent="0.15">
      <c r="B75" t="str">
        <f>+B25</f>
        <v>New Revolving Credit Facility ($300)</v>
      </c>
      <c r="C75">
        <f>+F25</f>
        <v>5</v>
      </c>
      <c r="D75">
        <f>+I25</f>
        <v>0</v>
      </c>
      <c r="G75">
        <f>+-IF($D75&lt;=(-SUM($E75:F75)),0,($D75/$C75))</f>
        <v>0</v>
      </c>
      <c r="H75">
        <f>+-IF($D75&lt;=(-SUM($E75:G75)),0,($D75/$C75))</f>
        <v>0</v>
      </c>
      <c r="I75">
        <f>+-IF($D75&lt;=(-SUM($E75:H75)),0,($D75/$C75))</f>
        <v>0</v>
      </c>
      <c r="J75">
        <f>+-IF($D75&lt;=(-SUM($E75:I75)),0,($D75/$C75))</f>
        <v>0</v>
      </c>
      <c r="K75">
        <f>+-IF($D75&lt;=(-SUM($E75:J75)),0,($D75/$C75))</f>
        <v>0</v>
      </c>
    </row>
    <row r="76" spans="2:11" x14ac:dyDescent="0.15">
      <c r="B76" t="str">
        <f>+B26</f>
        <v>New First Lien Term Loan</v>
      </c>
      <c r="C76">
        <f>+F26</f>
        <v>7</v>
      </c>
      <c r="D76">
        <f>+I26</f>
        <v>29.312999999999999</v>
      </c>
      <c r="G76">
        <f>+-IF($D76&lt;=(-SUM($E76:F76)),0,($D76/$C76))</f>
        <v>-4.1875714285714283</v>
      </c>
      <c r="H76">
        <f>+-IF($D76&lt;=(-SUM($E76:G76)),0,($D76/$C76))</f>
        <v>-4.1875714285714283</v>
      </c>
      <c r="I76">
        <f>+-IF($D76&lt;=(-SUM($E76:H76)),0,($D76/$C76))</f>
        <v>-4.1875714285714283</v>
      </c>
      <c r="J76">
        <f>+-IF($D76&lt;=(-SUM($E76:I76)),0,($D76/$C76))</f>
        <v>-4.1875714285714283</v>
      </c>
      <c r="K76">
        <f>+-IF($D76&lt;=(-SUM($E76:J76)),0,($D76/$C76))</f>
        <v>-4.1875714285714283</v>
      </c>
    </row>
    <row r="77" spans="2:11" x14ac:dyDescent="0.15">
      <c r="B77" t="str">
        <f>+B27</f>
        <v>New Senior Unsecured Notes</v>
      </c>
      <c r="C77">
        <f>+F27</f>
        <v>8</v>
      </c>
      <c r="D77">
        <f>+I27</f>
        <v>0</v>
      </c>
      <c r="G77">
        <f>+-IF($D77&lt;=(-SUM($E77:F77)),0,($D77/$C77))</f>
        <v>0</v>
      </c>
      <c r="H77">
        <f>+-IF($D77&lt;=(-SUM($E77:G77)),0,($D77/$C77))</f>
        <v>0</v>
      </c>
      <c r="I77">
        <f>+-IF($D77&lt;=(-SUM($E77:H77)),0,($D77/$C77))</f>
        <v>0</v>
      </c>
      <c r="J77">
        <f>+-IF($D77&lt;=(-SUM($E77:I77)),0,($D77/$C77))</f>
        <v>0</v>
      </c>
      <c r="K77">
        <f>+-IF($D77&lt;=(-SUM($E77:J77)),0,($D77/$C77))</f>
        <v>0</v>
      </c>
    </row>
    <row r="78" spans="2:11" x14ac:dyDescent="0.15">
      <c r="B78" t="s">
        <v>105</v>
      </c>
      <c r="D78">
        <f>SUM(D75:D77)</f>
        <v>29.312999999999999</v>
      </c>
      <c r="G78">
        <f>SUM(G75:G77)</f>
        <v>-4.1875714285714283</v>
      </c>
      <c r="H78">
        <f>SUM(H75:H77)</f>
        <v>-4.1875714285714283</v>
      </c>
      <c r="I78">
        <f>SUM(I75:I77)</f>
        <v>-4.1875714285714283</v>
      </c>
      <c r="J78">
        <f>SUM(J75:J77)</f>
        <v>-4.1875714285714283</v>
      </c>
      <c r="K78">
        <f>SUM(K75:K77)</f>
        <v>-4.1875714285714283</v>
      </c>
    </row>
    <row r="80" spans="2:11" x14ac:dyDescent="0.15">
      <c r="B80" t="s">
        <v>106</v>
      </c>
      <c r="C80" t="s">
        <v>66</v>
      </c>
      <c r="D80" t="s">
        <v>71</v>
      </c>
    </row>
    <row r="81" spans="2:11" x14ac:dyDescent="0.15">
      <c r="B81" t="str">
        <f>+B25</f>
        <v>New Revolving Credit Facility ($300)</v>
      </c>
      <c r="C81">
        <f>+F25</f>
        <v>5</v>
      </c>
      <c r="D81">
        <f>+K25</f>
        <v>3.75</v>
      </c>
      <c r="G81">
        <f>+-IF($D81&lt;=(-SUM($E81:F81)),0,($D81/$C81))</f>
        <v>-0.75</v>
      </c>
      <c r="H81">
        <f>+-IF($D81&lt;=(-SUM($E81:G81)),0,($D81/$C81))</f>
        <v>-0.75</v>
      </c>
      <c r="I81">
        <f>+-IF($D81&lt;=(-SUM($E81:H81)),0,($D81/$C81))</f>
        <v>-0.75</v>
      </c>
      <c r="J81">
        <f>+-IF($D81&lt;=(-SUM($E81:I81)),0,($D81/$C81))</f>
        <v>-0.75</v>
      </c>
      <c r="K81">
        <f>+-IF($D81&lt;=(-SUM($E81:J81)),0,($D81/$C81))</f>
        <v>-0.75</v>
      </c>
    </row>
    <row r="82" spans="2:11" x14ac:dyDescent="0.15">
      <c r="B82" t="str">
        <f>+B26</f>
        <v>New First Lien Term Loan</v>
      </c>
      <c r="C82">
        <f>+F26</f>
        <v>7</v>
      </c>
      <c r="D82">
        <f>+K26</f>
        <v>65.954249999999988</v>
      </c>
      <c r="G82">
        <f>+-IF($D82&lt;=(-SUM($E82:F82)),0,($D82/$C82))</f>
        <v>-9.4220357142857125</v>
      </c>
      <c r="H82">
        <f>+-IF($D82&lt;=(-SUM($E82:G82)),0,($D82/$C82))</f>
        <v>-9.4220357142857125</v>
      </c>
      <c r="I82">
        <f>+-IF($D82&lt;=(-SUM($E82:H82)),0,($D82/$C82))</f>
        <v>-9.4220357142857125</v>
      </c>
      <c r="J82">
        <f>+-IF($D82&lt;=(-SUM($E82:I82)),0,($D82/$C82))</f>
        <v>-9.4220357142857125</v>
      </c>
      <c r="K82">
        <f>+-IF($D82&lt;=(-SUM($E82:J82)),0,($D82/$C82))</f>
        <v>-9.4220357142857125</v>
      </c>
    </row>
    <row r="83" spans="2:11" x14ac:dyDescent="0.15">
      <c r="B83" t="str">
        <f>+B27</f>
        <v>New Senior Unsecured Notes</v>
      </c>
      <c r="C83">
        <f>+F27</f>
        <v>8</v>
      </c>
      <c r="D83">
        <f>+K27</f>
        <v>10.65</v>
      </c>
      <c r="G83">
        <f>+-IF($D83&lt;=(-SUM($E83:F83)),0,($D83/$C83))</f>
        <v>-1.33125</v>
      </c>
      <c r="H83">
        <f>+-IF($D83&lt;=(-SUM($E83:G83)),0,($D83/$C83))</f>
        <v>-1.33125</v>
      </c>
      <c r="I83">
        <f>+-IF($D83&lt;=(-SUM($E83:H83)),0,($D83/$C83))</f>
        <v>-1.33125</v>
      </c>
      <c r="J83">
        <f>+-IF($D83&lt;=(-SUM($E83:I83)),0,($D83/$C83))</f>
        <v>-1.33125</v>
      </c>
      <c r="K83">
        <f>+-IF($D83&lt;=(-SUM($E83:J83)),0,($D83/$C83))</f>
        <v>-1.33125</v>
      </c>
    </row>
    <row r="84" spans="2:11" x14ac:dyDescent="0.15">
      <c r="B84" t="s">
        <v>107</v>
      </c>
      <c r="D84">
        <f>SUM(D81:D83)</f>
        <v>80.354249999999993</v>
      </c>
      <c r="G84">
        <f>SUM(G81:G83)</f>
        <v>-11.503285714285713</v>
      </c>
      <c r="H84">
        <f>SUM(H81:H83)</f>
        <v>-11.503285714285713</v>
      </c>
      <c r="I84">
        <f>SUM(I81:I83)</f>
        <v>-11.503285714285713</v>
      </c>
      <c r="J84">
        <f>SUM(J81:J83)</f>
        <v>-11.503285714285713</v>
      </c>
      <c r="K84">
        <f>SUM(K81:K83)</f>
        <v>-11.503285714285713</v>
      </c>
    </row>
    <row r="86" spans="2:11" x14ac:dyDescent="0.15">
      <c r="B86" t="s">
        <v>86</v>
      </c>
    </row>
    <row r="88" spans="2:11" x14ac:dyDescent="0.15">
      <c r="C88" t="str">
        <f>""</f>
        <v/>
      </c>
      <c r="D88" t="str">
        <f>D$2&amp;D$3</f>
        <v>2023A</v>
      </c>
      <c r="E88" t="s">
        <v>243</v>
      </c>
      <c r="F88" t="s">
        <v>398</v>
      </c>
      <c r="G88" t="s">
        <v>245</v>
      </c>
      <c r="H88" t="s">
        <v>246</v>
      </c>
      <c r="I88" t="s">
        <v>247</v>
      </c>
      <c r="J88" t="s">
        <v>248</v>
      </c>
      <c r="K88" t="s">
        <v>249</v>
      </c>
    </row>
    <row r="89" spans="2:11" x14ac:dyDescent="0.15">
      <c r="B89" t="s">
        <v>108</v>
      </c>
      <c r="D89">
        <f>'7% Stretch - Revenue Build'!B5</f>
        <v>1598.1</v>
      </c>
      <c r="E89">
        <f>'7% Stretch - Revenue Build'!C5</f>
        <v>1577.3</v>
      </c>
      <c r="F89">
        <f>'7% Stretch - Revenue Build'!D5</f>
        <v>1716.2</v>
      </c>
      <c r="G89">
        <f>'7% Stretch - Revenue Build'!E5*(1+G45)</f>
        <v>2074.73</v>
      </c>
      <c r="H89">
        <f t="shared" ref="H89:K90" si="4">G89*(1+H45)</f>
        <v>2219.9611</v>
      </c>
      <c r="I89">
        <f t="shared" si="4"/>
        <v>2375.358377</v>
      </c>
      <c r="J89">
        <f t="shared" si="4"/>
        <v>2541.6334633900001</v>
      </c>
      <c r="K89">
        <f t="shared" si="4"/>
        <v>2719.5478058273002</v>
      </c>
    </row>
    <row r="90" spans="2:11" x14ac:dyDescent="0.15">
      <c r="B90" t="s">
        <v>109</v>
      </c>
      <c r="D90">
        <f>'7% Stretch - Revenue Build'!B6</f>
        <v>1941.9</v>
      </c>
      <c r="E90">
        <f>'7% Stretch - Revenue Build'!C6</f>
        <v>1916.7</v>
      </c>
      <c r="F90">
        <f>'7% Stretch - Revenue Build'!D6</f>
        <v>2082</v>
      </c>
      <c r="G90">
        <f>'7% Stretch - Revenue Build'!E6*(1+G46)</f>
        <v>2234.6950000000002</v>
      </c>
      <c r="H90">
        <f t="shared" si="4"/>
        <v>2391.1236500000005</v>
      </c>
      <c r="I90">
        <f t="shared" si="4"/>
        <v>2558.5023055000006</v>
      </c>
      <c r="J90">
        <f t="shared" si="4"/>
        <v>2737.5974668850008</v>
      </c>
      <c r="K90">
        <f t="shared" si="4"/>
        <v>2929.2292895669511</v>
      </c>
    </row>
    <row r="91" spans="2:11" x14ac:dyDescent="0.15">
      <c r="B91" t="s">
        <v>110</v>
      </c>
      <c r="D91">
        <f>0</f>
        <v>0</v>
      </c>
      <c r="E91">
        <f>0</f>
        <v>0</v>
      </c>
      <c r="F91">
        <f>0</f>
        <v>0</v>
      </c>
      <c r="G91">
        <v>0</v>
      </c>
      <c r="H91">
        <v>0</v>
      </c>
      <c r="I91">
        <v>0</v>
      </c>
      <c r="J91">
        <v>0</v>
      </c>
      <c r="K91">
        <v>0</v>
      </c>
    </row>
    <row r="92" spans="2:11" x14ac:dyDescent="0.15">
      <c r="B92" t="s">
        <v>111</v>
      </c>
      <c r="C92" t="str">
        <f>""</f>
        <v/>
      </c>
      <c r="D92">
        <f t="shared" ref="D92:K92" si="5">SUM(D89:D91)</f>
        <v>3540</v>
      </c>
      <c r="E92">
        <f t="shared" si="5"/>
        <v>3494</v>
      </c>
      <c r="F92">
        <f t="shared" si="5"/>
        <v>3798.2</v>
      </c>
      <c r="G92">
        <f t="shared" si="5"/>
        <v>4309.4250000000002</v>
      </c>
      <c r="H92">
        <f t="shared" si="5"/>
        <v>4611.08475</v>
      </c>
      <c r="I92">
        <f t="shared" si="5"/>
        <v>4933.8606825000006</v>
      </c>
      <c r="J92">
        <f t="shared" si="5"/>
        <v>5279.2309302750009</v>
      </c>
      <c r="K92">
        <f t="shared" si="5"/>
        <v>5648.7770953942509</v>
      </c>
    </row>
    <row r="93" spans="2:11" x14ac:dyDescent="0.15">
      <c r="B93" t="s">
        <v>112</v>
      </c>
      <c r="C93" t="str">
        <f>""</f>
        <v/>
      </c>
      <c r="D93" t="str">
        <f>""</f>
        <v/>
      </c>
      <c r="E93">
        <f>IFERROR(E92/D92-1,0)</f>
        <v>-1.2994350282485856E-2</v>
      </c>
      <c r="F93">
        <v>3.8961038961038898E-2</v>
      </c>
      <c r="G93">
        <v>4.4999999999999901E-2</v>
      </c>
      <c r="H93">
        <v>4.4999999999999901E-2</v>
      </c>
      <c r="I93">
        <v>4.4999999999999901E-2</v>
      </c>
      <c r="J93">
        <v>4.4999999999999901E-2</v>
      </c>
      <c r="K93">
        <v>4.4999999999999901E-2</v>
      </c>
    </row>
    <row r="94" spans="2:11" x14ac:dyDescent="0.15">
      <c r="G94">
        <f>G92/'7% Stretch - Revenue Build'!E8-1</f>
        <v>7.0000000000000062E-2</v>
      </c>
      <c r="H94">
        <f>H92/G92-1</f>
        <v>7.0000000000000062E-2</v>
      </c>
      <c r="I94">
        <f>I92/H92-1</f>
        <v>7.0000000000000062E-2</v>
      </c>
      <c r="J94">
        <f>J92/I92-1</f>
        <v>7.0000000000000062E-2</v>
      </c>
      <c r="K94">
        <f>K92/J92-1</f>
        <v>7.0000000000000062E-2</v>
      </c>
    </row>
    <row r="95" spans="2:11" x14ac:dyDescent="0.15">
      <c r="B95" t="s">
        <v>113</v>
      </c>
      <c r="D95">
        <f>-D92*(1-D50)</f>
        <v>-2301</v>
      </c>
      <c r="E95">
        <f>-E92*(1-E50)</f>
        <v>-2271.1</v>
      </c>
      <c r="F95">
        <f>-F92*(1-F50)</f>
        <v>-2463.6000000000017</v>
      </c>
      <c r="G95">
        <f>+G$92*(1-G50)*-1</f>
        <v>-2779.5791250000002</v>
      </c>
      <c r="H95">
        <f>+H$92*(1-H50)*-1</f>
        <v>-2960.3164095000002</v>
      </c>
      <c r="I95">
        <f>+I$92*(1-I50)*-1</f>
        <v>-3177.4062795300006</v>
      </c>
      <c r="J95">
        <f>+J$92*(1-J50)*-1</f>
        <v>-3415.6624118879258</v>
      </c>
      <c r="K95">
        <f>+K$92*(1-K50)*-1</f>
        <v>-3671.7051120062633</v>
      </c>
    </row>
    <row r="96" spans="2:11" x14ac:dyDescent="0.15">
      <c r="B96" t="s">
        <v>114</v>
      </c>
      <c r="C96" t="str">
        <f>""</f>
        <v/>
      </c>
      <c r="D96">
        <f t="shared" ref="D96:K96" si="6">D92+D95</f>
        <v>1239</v>
      </c>
      <c r="E96">
        <f t="shared" si="6"/>
        <v>1222.9000000000001</v>
      </c>
      <c r="F96">
        <f t="shared" si="6"/>
        <v>1334.5999999999981</v>
      </c>
      <c r="G96">
        <f t="shared" si="6"/>
        <v>1529.845875</v>
      </c>
      <c r="H96">
        <f t="shared" si="6"/>
        <v>1650.7683404999998</v>
      </c>
      <c r="I96">
        <f t="shared" si="6"/>
        <v>1756.45440297</v>
      </c>
      <c r="J96">
        <f t="shared" si="6"/>
        <v>1863.5685183870751</v>
      </c>
      <c r="K96">
        <f t="shared" si="6"/>
        <v>1977.0719833879875</v>
      </c>
    </row>
    <row r="97" spans="2:11" x14ac:dyDescent="0.15">
      <c r="B97" t="s">
        <v>115</v>
      </c>
      <c r="C97" t="str">
        <f>""</f>
        <v/>
      </c>
      <c r="D97">
        <f t="shared" ref="D97:K97" si="7">IFERROR(D96/D92,0)</f>
        <v>0.35</v>
      </c>
      <c r="E97">
        <f t="shared" si="7"/>
        <v>0.35000000000000003</v>
      </c>
      <c r="F97">
        <f t="shared" si="7"/>
        <v>0.35137696803749097</v>
      </c>
      <c r="G97">
        <f t="shared" si="7"/>
        <v>0.35499999999999998</v>
      </c>
      <c r="H97">
        <f t="shared" si="7"/>
        <v>0.35799999999999993</v>
      </c>
      <c r="I97">
        <f t="shared" si="7"/>
        <v>0.35599999999999998</v>
      </c>
      <c r="J97">
        <f t="shared" si="7"/>
        <v>0.35299999999999998</v>
      </c>
      <c r="K97">
        <f t="shared" si="7"/>
        <v>0.35</v>
      </c>
    </row>
    <row r="99" spans="2:11" x14ac:dyDescent="0.15">
      <c r="B99" t="s">
        <v>116</v>
      </c>
      <c r="D99">
        <f>-D92*D52</f>
        <v>-918.99999999999898</v>
      </c>
      <c r="E99">
        <f>-E92*E52</f>
        <v>-913.99999999999932</v>
      </c>
      <c r="F99">
        <f>-F92*F52</f>
        <v>-1000.4000000000016</v>
      </c>
      <c r="G99">
        <f>+G$92*G52*-1</f>
        <v>-1008.40545</v>
      </c>
      <c r="H99">
        <f>+H$92*H52*-1</f>
        <v>-1014.4386449999998</v>
      </c>
      <c r="I99">
        <f>+I$92*I52*-1</f>
        <v>-1060.7800467375</v>
      </c>
      <c r="J99">
        <f>+J$92*J52*-1</f>
        <v>-1098.0800334972002</v>
      </c>
      <c r="K99">
        <f>+K$92*K52*-1</f>
        <v>-1129.7554190788501</v>
      </c>
    </row>
    <row r="100" spans="2:11" x14ac:dyDescent="0.15">
      <c r="B100" t="s">
        <v>117</v>
      </c>
      <c r="C100" t="str">
        <f>""</f>
        <v/>
      </c>
      <c r="D100">
        <v>0</v>
      </c>
      <c r="E100">
        <v>0</v>
      </c>
      <c r="F100">
        <v>0</v>
      </c>
      <c r="G100">
        <f>+G78</f>
        <v>-4.1875714285714283</v>
      </c>
      <c r="H100">
        <f>+H78</f>
        <v>-4.1875714285714283</v>
      </c>
      <c r="I100">
        <f>+I78</f>
        <v>-4.1875714285714283</v>
      </c>
      <c r="J100">
        <f>+J78</f>
        <v>-4.1875714285714283</v>
      </c>
      <c r="K100">
        <f>+K78</f>
        <v>-4.1875714285714283</v>
      </c>
    </row>
    <row r="101" spans="2:11" x14ac:dyDescent="0.15">
      <c r="B101" t="s">
        <v>118</v>
      </c>
      <c r="C101" t="str">
        <f>""</f>
        <v/>
      </c>
      <c r="D101">
        <v>0</v>
      </c>
      <c r="E101">
        <v>0</v>
      </c>
      <c r="F101">
        <v>0</v>
      </c>
      <c r="G101">
        <f>+G84</f>
        <v>-11.503285714285713</v>
      </c>
      <c r="H101">
        <f>+H84</f>
        <v>-11.503285714285713</v>
      </c>
      <c r="I101">
        <f>+I84</f>
        <v>-11.503285714285713</v>
      </c>
      <c r="J101">
        <f>+J84</f>
        <v>-11.503285714285713</v>
      </c>
      <c r="K101">
        <f>+K84</f>
        <v>-11.503285714285713</v>
      </c>
    </row>
    <row r="102" spans="2:11" x14ac:dyDescent="0.15">
      <c r="B102" t="s">
        <v>119</v>
      </c>
      <c r="C102" t="str">
        <f>""</f>
        <v/>
      </c>
      <c r="D102">
        <f t="shared" ref="D102:K102" si="8">D96+SUM(D99:D101)</f>
        <v>320.00000000000102</v>
      </c>
      <c r="E102">
        <f t="shared" si="8"/>
        <v>308.90000000000077</v>
      </c>
      <c r="F102">
        <f t="shared" si="8"/>
        <v>334.19999999999652</v>
      </c>
      <c r="G102">
        <f t="shared" si="8"/>
        <v>505.74956785714289</v>
      </c>
      <c r="H102">
        <f t="shared" si="8"/>
        <v>620.63883835714273</v>
      </c>
      <c r="I102">
        <f t="shared" si="8"/>
        <v>679.98349908964292</v>
      </c>
      <c r="J102">
        <f t="shared" si="8"/>
        <v>749.79762774701771</v>
      </c>
      <c r="K102">
        <f t="shared" si="8"/>
        <v>831.62570716628034</v>
      </c>
    </row>
    <row r="103" spans="2:11" x14ac:dyDescent="0.15">
      <c r="B103" t="s">
        <v>115</v>
      </c>
      <c r="C103" t="str">
        <f>""</f>
        <v/>
      </c>
      <c r="D103">
        <f t="shared" ref="D103:K103" si="9">IFERROR(D102/D92,0)</f>
        <v>9.0395480225988992E-2</v>
      </c>
      <c r="E103">
        <f t="shared" si="9"/>
        <v>8.8408700629651046E-2</v>
      </c>
      <c r="F103">
        <f t="shared" si="9"/>
        <v>8.7989047443524968E-2</v>
      </c>
      <c r="G103">
        <f t="shared" si="9"/>
        <v>0.11735894414153696</v>
      </c>
      <c r="H103">
        <f t="shared" si="9"/>
        <v>0.13459714405751114</v>
      </c>
      <c r="I103">
        <f t="shared" si="9"/>
        <v>0.13781976080141231</v>
      </c>
      <c r="J103">
        <f t="shared" si="9"/>
        <v>0.14202781383309557</v>
      </c>
      <c r="K103">
        <f t="shared" si="9"/>
        <v>0.14722225591878091</v>
      </c>
    </row>
    <row r="105" spans="2:11" x14ac:dyDescent="0.15">
      <c r="B105" t="s">
        <v>120</v>
      </c>
      <c r="D105">
        <v>-40</v>
      </c>
      <c r="E105">
        <v>-68.599999999999994</v>
      </c>
      <c r="F105">
        <v>-103.3</v>
      </c>
      <c r="G105">
        <f>-((F157+G163/2)*(D175/10000+MAX($G$10,AVERAGE(F69,G69)))+G8*G9+F158*D176)</f>
        <v>-254.352381675</v>
      </c>
      <c r="H105">
        <f>-((G157+H163/2)*(D175/10000+MAX($G$10,AVERAGE(G69,H69)))+G8*G9+G158*D176)</f>
        <v>-230.71572547644752</v>
      </c>
      <c r="I105">
        <f>-((H157+I163/2)*(D175/10000+MAX($G$10,AVERAGE(H69,I69)))+G8*G9+H158*D176)</f>
        <v>-197.38756066348316</v>
      </c>
      <c r="J105">
        <f>-((I157+J163/2)*(D175/10000+MAX($G$10,AVERAGE(I69,J69)))+G8*G9+I158*D176)</f>
        <v>-158.92902732175432</v>
      </c>
      <c r="K105">
        <f>-((J157+K163/2)*(D175/10000+MAX($G$10,AVERAGE(J69,K69)))+G8*G9+J158*D176)</f>
        <v>-113.45082164347772</v>
      </c>
    </row>
    <row r="106" spans="2:11" x14ac:dyDescent="0.15">
      <c r="B106" t="s">
        <v>121</v>
      </c>
      <c r="C106" t="str">
        <f>""</f>
        <v/>
      </c>
      <c r="D106">
        <f t="shared" ref="D106:K106" si="10">D102+D105</f>
        <v>280.00000000000102</v>
      </c>
      <c r="E106">
        <f t="shared" si="10"/>
        <v>240.30000000000078</v>
      </c>
      <c r="F106">
        <f t="shared" si="10"/>
        <v>230.89999999999651</v>
      </c>
      <c r="G106">
        <f t="shared" si="10"/>
        <v>251.39718618214289</v>
      </c>
      <c r="H106">
        <f t="shared" si="10"/>
        <v>389.92311288069521</v>
      </c>
      <c r="I106">
        <f t="shared" si="10"/>
        <v>482.59593842615976</v>
      </c>
      <c r="J106">
        <f t="shared" si="10"/>
        <v>590.86860042526337</v>
      </c>
      <c r="K106">
        <f t="shared" si="10"/>
        <v>718.17488552280258</v>
      </c>
    </row>
    <row r="108" spans="2:11" x14ac:dyDescent="0.15">
      <c r="B108" t="s">
        <v>122</v>
      </c>
      <c r="D108">
        <f t="shared" ref="D108:K108" si="11">IF(D106&gt;0,-D106*$G$16,0)</f>
        <v>-70.000000000000256</v>
      </c>
      <c r="E108">
        <f t="shared" si="11"/>
        <v>-60.075000000000195</v>
      </c>
      <c r="F108">
        <f t="shared" si="11"/>
        <v>-57.724999999999127</v>
      </c>
      <c r="G108">
        <f t="shared" si="11"/>
        <v>-62.849296545535722</v>
      </c>
      <c r="H108">
        <f t="shared" si="11"/>
        <v>-97.480778220173804</v>
      </c>
      <c r="I108">
        <f t="shared" si="11"/>
        <v>-120.64898460653994</v>
      </c>
      <c r="J108">
        <f t="shared" si="11"/>
        <v>-147.71715010631584</v>
      </c>
      <c r="K108">
        <f t="shared" si="11"/>
        <v>-179.54372138070065</v>
      </c>
    </row>
    <row r="109" spans="2:11" x14ac:dyDescent="0.15">
      <c r="B109" t="s">
        <v>123</v>
      </c>
      <c r="C109" t="str">
        <f>""</f>
        <v/>
      </c>
      <c r="D109">
        <f t="shared" ref="D109:K109" si="12">D106+D108</f>
        <v>210.00000000000077</v>
      </c>
      <c r="E109">
        <f t="shared" si="12"/>
        <v>180.22500000000059</v>
      </c>
      <c r="F109">
        <f t="shared" si="12"/>
        <v>173.1749999999974</v>
      </c>
      <c r="G109">
        <f t="shared" si="12"/>
        <v>188.54788963660718</v>
      </c>
      <c r="H109">
        <f t="shared" si="12"/>
        <v>292.4423346605214</v>
      </c>
      <c r="I109">
        <f t="shared" si="12"/>
        <v>361.94695381961981</v>
      </c>
      <c r="J109">
        <f t="shared" si="12"/>
        <v>443.15145031894752</v>
      </c>
      <c r="K109">
        <f t="shared" si="12"/>
        <v>538.63116414210197</v>
      </c>
    </row>
    <row r="110" spans="2:11" x14ac:dyDescent="0.15">
      <c r="B110" t="s">
        <v>115</v>
      </c>
      <c r="C110" t="str">
        <f>""</f>
        <v/>
      </c>
      <c r="D110">
        <f t="shared" ref="D110:K110" si="13">IFERROR(D109/D92,0)</f>
        <v>5.9322033898305301E-2</v>
      </c>
      <c r="E110">
        <f t="shared" si="13"/>
        <v>5.1581282198053975E-2</v>
      </c>
      <c r="F110">
        <f t="shared" si="13"/>
        <v>4.5593965562634252E-2</v>
      </c>
      <c r="G110">
        <f t="shared" si="13"/>
        <v>4.3752447167918498E-2</v>
      </c>
      <c r="H110">
        <f t="shared" si="13"/>
        <v>6.3421591776321479E-2</v>
      </c>
      <c r="I110">
        <f t="shared" si="13"/>
        <v>7.3359783972704373E-2</v>
      </c>
      <c r="J110">
        <f t="shared" si="13"/>
        <v>8.3942425738110921E-2</v>
      </c>
      <c r="K110">
        <f t="shared" si="13"/>
        <v>9.535358805028378E-2</v>
      </c>
    </row>
    <row r="112" spans="2:11" x14ac:dyDescent="0.15">
      <c r="B112" t="s">
        <v>124</v>
      </c>
      <c r="C112" t="str">
        <f>""</f>
        <v/>
      </c>
      <c r="D112">
        <f t="shared" ref="D112:K112" si="14">-D105</f>
        <v>40</v>
      </c>
      <c r="E112">
        <f t="shared" si="14"/>
        <v>68.599999999999994</v>
      </c>
      <c r="F112">
        <f t="shared" si="14"/>
        <v>103.3</v>
      </c>
      <c r="G112">
        <f t="shared" si="14"/>
        <v>254.352381675</v>
      </c>
      <c r="H112">
        <f t="shared" si="14"/>
        <v>230.71572547644752</v>
      </c>
      <c r="I112">
        <f t="shared" si="14"/>
        <v>197.38756066348316</v>
      </c>
      <c r="J112">
        <f t="shared" si="14"/>
        <v>158.92902732175432</v>
      </c>
      <c r="K112">
        <f t="shared" si="14"/>
        <v>113.45082164347772</v>
      </c>
    </row>
    <row r="113" spans="2:11" x14ac:dyDescent="0.15">
      <c r="B113" t="s">
        <v>125</v>
      </c>
      <c r="C113" t="str">
        <f>""</f>
        <v/>
      </c>
      <c r="D113">
        <f t="shared" ref="D113:K113" si="15">-D108</f>
        <v>70.000000000000256</v>
      </c>
      <c r="E113">
        <f t="shared" si="15"/>
        <v>60.075000000000195</v>
      </c>
      <c r="F113">
        <f t="shared" si="15"/>
        <v>57.724999999999127</v>
      </c>
      <c r="G113">
        <f t="shared" si="15"/>
        <v>62.849296545535722</v>
      </c>
      <c r="H113">
        <f t="shared" si="15"/>
        <v>97.480778220173804</v>
      </c>
      <c r="I113">
        <f t="shared" si="15"/>
        <v>120.64898460653994</v>
      </c>
      <c r="J113">
        <f t="shared" si="15"/>
        <v>147.71715010631584</v>
      </c>
      <c r="K113">
        <f t="shared" si="15"/>
        <v>179.54372138070065</v>
      </c>
    </row>
    <row r="114" spans="2:11" x14ac:dyDescent="0.15">
      <c r="B114" t="s">
        <v>126</v>
      </c>
      <c r="D114">
        <v>95</v>
      </c>
      <c r="E114">
        <v>85</v>
      </c>
      <c r="F114">
        <v>125</v>
      </c>
      <c r="G114">
        <f>G92*G58</f>
        <v>107.73562500000001</v>
      </c>
      <c r="H114">
        <f>H92*H58</f>
        <v>115.27711875</v>
      </c>
      <c r="I114">
        <f>I92*I58</f>
        <v>123.34651706250003</v>
      </c>
      <c r="J114">
        <f>J92*J58</f>
        <v>131.98077325687504</v>
      </c>
      <c r="K114">
        <f>K92*K58</f>
        <v>141.21942738485629</v>
      </c>
    </row>
    <row r="115" spans="2:11" x14ac:dyDescent="0.15">
      <c r="B115" t="s">
        <v>127</v>
      </c>
      <c r="D115">
        <v>95</v>
      </c>
      <c r="E115">
        <v>85.1</v>
      </c>
      <c r="F115">
        <v>141.19999999999999</v>
      </c>
      <c r="G115">
        <f>G92*G59</f>
        <v>172.37700000000001</v>
      </c>
      <c r="H115">
        <f>H92*H59</f>
        <v>179.83230524999999</v>
      </c>
      <c r="I115">
        <f>I92*I59</f>
        <v>187.48670593500003</v>
      </c>
      <c r="J115">
        <f>J92*J59</f>
        <v>195.33154442017502</v>
      </c>
      <c r="K115">
        <f>K92*K59</f>
        <v>197.7071983387988</v>
      </c>
    </row>
    <row r="116" spans="2:11" x14ac:dyDescent="0.15">
      <c r="B116" t="s">
        <v>128</v>
      </c>
      <c r="C116" t="str">
        <f>""</f>
        <v/>
      </c>
      <c r="D116">
        <f t="shared" ref="D116:K117" si="16">-D100</f>
        <v>0</v>
      </c>
      <c r="E116">
        <f t="shared" si="16"/>
        <v>0</v>
      </c>
      <c r="F116">
        <f t="shared" si="16"/>
        <v>0</v>
      </c>
      <c r="G116">
        <f t="shared" si="16"/>
        <v>4.1875714285714283</v>
      </c>
      <c r="H116">
        <f t="shared" si="16"/>
        <v>4.1875714285714283</v>
      </c>
      <c r="I116">
        <f t="shared" si="16"/>
        <v>4.1875714285714283</v>
      </c>
      <c r="J116">
        <f t="shared" si="16"/>
        <v>4.1875714285714283</v>
      </c>
      <c r="K116">
        <f t="shared" si="16"/>
        <v>4.1875714285714283</v>
      </c>
    </row>
    <row r="117" spans="2:11" x14ac:dyDescent="0.15">
      <c r="B117" t="s">
        <v>129</v>
      </c>
      <c r="C117" t="str">
        <f>""</f>
        <v/>
      </c>
      <c r="D117">
        <f t="shared" si="16"/>
        <v>0</v>
      </c>
      <c r="E117">
        <f t="shared" si="16"/>
        <v>0</v>
      </c>
      <c r="F117">
        <f t="shared" si="16"/>
        <v>0</v>
      </c>
      <c r="G117">
        <f t="shared" si="16"/>
        <v>11.503285714285713</v>
      </c>
      <c r="H117">
        <f t="shared" si="16"/>
        <v>11.503285714285713</v>
      </c>
      <c r="I117">
        <f t="shared" si="16"/>
        <v>11.503285714285713</v>
      </c>
      <c r="J117">
        <f t="shared" si="16"/>
        <v>11.503285714285713</v>
      </c>
      <c r="K117">
        <f t="shared" si="16"/>
        <v>11.503285714285713</v>
      </c>
    </row>
    <row r="118" spans="2:11" x14ac:dyDescent="0.15">
      <c r="B118" t="s">
        <v>130</v>
      </c>
      <c r="C118" t="str">
        <f>""</f>
        <v/>
      </c>
      <c r="D118">
        <f t="shared" ref="D118:K118" si="17">D109+SUM(D112:D117)</f>
        <v>510.00000000000102</v>
      </c>
      <c r="E118">
        <f t="shared" si="17"/>
        <v>479.0000000000008</v>
      </c>
      <c r="F118">
        <f t="shared" si="17"/>
        <v>600.39999999999645</v>
      </c>
      <c r="G118">
        <f t="shared" si="17"/>
        <v>801.55305000000021</v>
      </c>
      <c r="H118">
        <f t="shared" si="17"/>
        <v>931.43911949999995</v>
      </c>
      <c r="I118">
        <f t="shared" si="17"/>
        <v>1006.5075792300001</v>
      </c>
      <c r="J118">
        <f t="shared" si="17"/>
        <v>1092.8008025669249</v>
      </c>
      <c r="K118">
        <f t="shared" si="17"/>
        <v>1186.2431900327927</v>
      </c>
    </row>
    <row r="119" spans="2:11" x14ac:dyDescent="0.15">
      <c r="B119" t="s">
        <v>115</v>
      </c>
      <c r="C119" t="str">
        <f>""</f>
        <v/>
      </c>
      <c r="D119">
        <f t="shared" ref="D119:K119" si="18">IFERROR(D118/D92,0)</f>
        <v>0.14406779661016977</v>
      </c>
      <c r="E119">
        <f t="shared" si="18"/>
        <v>0.13709215798511756</v>
      </c>
      <c r="F119">
        <f t="shared" si="18"/>
        <v>0.15807487757358657</v>
      </c>
      <c r="G119">
        <f t="shared" si="18"/>
        <v>0.18600000000000005</v>
      </c>
      <c r="H119">
        <f t="shared" si="18"/>
        <v>0.20199999999999999</v>
      </c>
      <c r="I119">
        <f t="shared" si="18"/>
        <v>0.20400000000000001</v>
      </c>
      <c r="J119">
        <f t="shared" si="18"/>
        <v>0.20699999999999993</v>
      </c>
      <c r="K119">
        <f t="shared" si="18"/>
        <v>0.21</v>
      </c>
    </row>
    <row r="121" spans="2:11" x14ac:dyDescent="0.15">
      <c r="B121" t="s">
        <v>131</v>
      </c>
    </row>
    <row r="123" spans="2:11" x14ac:dyDescent="0.15">
      <c r="B123" t="s">
        <v>132</v>
      </c>
      <c r="G123" t="str">
        <f>G$2&amp;G$3</f>
        <v>2027E</v>
      </c>
      <c r="H123" t="str">
        <f>H$2&amp;H$3</f>
        <v>2028E</v>
      </c>
      <c r="I123" t="str">
        <f>I$2&amp;I$3</f>
        <v>2029E</v>
      </c>
      <c r="J123" t="str">
        <f>J$2&amp;J$3</f>
        <v>2030E</v>
      </c>
      <c r="K123" t="str">
        <f>K$2&amp;K$3</f>
        <v>2031E</v>
      </c>
    </row>
    <row r="124" spans="2:11" x14ac:dyDescent="0.15">
      <c r="B124" t="s">
        <v>123</v>
      </c>
      <c r="G124">
        <f>+G109</f>
        <v>188.54788963660718</v>
      </c>
      <c r="H124">
        <f>+H109</f>
        <v>292.4423346605214</v>
      </c>
      <c r="I124">
        <f>+I109</f>
        <v>361.94695381961981</v>
      </c>
      <c r="J124">
        <f>+J109</f>
        <v>443.15145031894752</v>
      </c>
      <c r="K124">
        <f>+K109</f>
        <v>538.63116414210197</v>
      </c>
    </row>
    <row r="125" spans="2:11" x14ac:dyDescent="0.15">
      <c r="B125" t="s">
        <v>126</v>
      </c>
      <c r="G125">
        <f t="shared" ref="G125:K126" si="19">G114</f>
        <v>107.73562500000001</v>
      </c>
      <c r="H125">
        <f t="shared" si="19"/>
        <v>115.27711875</v>
      </c>
      <c r="I125">
        <f t="shared" si="19"/>
        <v>123.34651706250003</v>
      </c>
      <c r="J125">
        <f t="shared" si="19"/>
        <v>131.98077325687504</v>
      </c>
      <c r="K125">
        <f t="shared" si="19"/>
        <v>141.21942738485629</v>
      </c>
    </row>
    <row r="126" spans="2:11" x14ac:dyDescent="0.15">
      <c r="B126" t="s">
        <v>127</v>
      </c>
      <c r="G126">
        <f t="shared" si="19"/>
        <v>172.37700000000001</v>
      </c>
      <c r="H126">
        <f t="shared" si="19"/>
        <v>179.83230524999999</v>
      </c>
      <c r="I126">
        <f t="shared" si="19"/>
        <v>187.48670593500003</v>
      </c>
      <c r="J126">
        <f t="shared" si="19"/>
        <v>195.33154442017502</v>
      </c>
      <c r="K126">
        <f t="shared" si="19"/>
        <v>197.7071983387988</v>
      </c>
    </row>
    <row r="127" spans="2:11" x14ac:dyDescent="0.15">
      <c r="B127" t="s">
        <v>128</v>
      </c>
      <c r="G127">
        <v>0.68571428571428605</v>
      </c>
      <c r="H127">
        <v>0.68571428571428605</v>
      </c>
      <c r="I127">
        <v>0.68571428571428605</v>
      </c>
      <c r="J127">
        <v>0.68571428571428605</v>
      </c>
      <c r="K127">
        <v>0.68571428571428605</v>
      </c>
    </row>
    <row r="128" spans="2:11" x14ac:dyDescent="0.15">
      <c r="B128" t="s">
        <v>129</v>
      </c>
      <c r="G128">
        <v>3.6241071428571399</v>
      </c>
      <c r="H128">
        <v>3.6241071428571399</v>
      </c>
      <c r="I128">
        <v>3.6241071428571399</v>
      </c>
      <c r="J128">
        <v>3.6241071428571399</v>
      </c>
      <c r="K128">
        <v>3.6241071428571399</v>
      </c>
    </row>
    <row r="129" spans="2:11" x14ac:dyDescent="0.15">
      <c r="B129" t="s">
        <v>133</v>
      </c>
      <c r="G129">
        <f>+-G151</f>
        <v>-33.229625000000027</v>
      </c>
      <c r="H129">
        <f>+-H151</f>
        <v>-19.607883749999985</v>
      </c>
      <c r="I129">
        <f>+-I151</f>
        <v>-20.980435612500003</v>
      </c>
      <c r="J129">
        <f>+-J151</f>
        <v>-22.449066105375039</v>
      </c>
      <c r="K129">
        <f>+-K151</f>
        <v>-24.020500732751259</v>
      </c>
    </row>
    <row r="130" spans="2:11" x14ac:dyDescent="0.15">
      <c r="B130" t="s">
        <v>134</v>
      </c>
      <c r="G130">
        <f>+-G147</f>
        <v>-129.28274999999999</v>
      </c>
      <c r="H130">
        <f>+-H147</f>
        <v>-138.33254249999999</v>
      </c>
      <c r="I130">
        <f>+-I147</f>
        <v>-148.01582047500003</v>
      </c>
      <c r="J130">
        <f>+-J147</f>
        <v>-158.37692790825002</v>
      </c>
      <c r="K130">
        <f>+-K147</f>
        <v>-169.46331286182752</v>
      </c>
    </row>
    <row r="131" spans="2:11" x14ac:dyDescent="0.15">
      <c r="B131" t="s">
        <v>135</v>
      </c>
      <c r="G131">
        <f>SUM(G124:G130)</f>
        <v>310.45796106517867</v>
      </c>
      <c r="H131">
        <f>SUM(H124:H130)</f>
        <v>433.92115383909282</v>
      </c>
      <c r="I131">
        <f>SUM(I124:I130)</f>
        <v>508.09374215819116</v>
      </c>
      <c r="J131">
        <f>SUM(J124:J130)</f>
        <v>593.9475954109439</v>
      </c>
      <c r="K131">
        <f>SUM(K124:K130)</f>
        <v>688.38379769974972</v>
      </c>
    </row>
    <row r="132" spans="2:11" x14ac:dyDescent="0.15">
      <c r="B132" t="s">
        <v>136</v>
      </c>
      <c r="G132">
        <f>G166</f>
        <v>0</v>
      </c>
      <c r="H132">
        <f>H166</f>
        <v>0</v>
      </c>
      <c r="I132">
        <f>I166</f>
        <v>0</v>
      </c>
      <c r="J132">
        <f>J166</f>
        <v>0</v>
      </c>
      <c r="K132">
        <f>K166</f>
        <v>0</v>
      </c>
    </row>
    <row r="133" spans="2:11" x14ac:dyDescent="0.15">
      <c r="B133" t="s">
        <v>137</v>
      </c>
      <c r="G133">
        <f>G165</f>
        <v>-29.312999999999999</v>
      </c>
      <c r="H133">
        <f>H165</f>
        <v>-29.312999999999999</v>
      </c>
      <c r="I133">
        <f>I165</f>
        <v>-29.312999999999999</v>
      </c>
      <c r="J133">
        <f>J165</f>
        <v>-29.312999999999999</v>
      </c>
      <c r="K133">
        <f>K165</f>
        <v>-29.312999999999999</v>
      </c>
    </row>
    <row r="134" spans="2:11" x14ac:dyDescent="0.15">
      <c r="B134" t="s">
        <v>138</v>
      </c>
      <c r="G134">
        <f>G171</f>
        <v>-286.73915856517908</v>
      </c>
      <c r="H134">
        <f>H171</f>
        <v>-410.085933531656</v>
      </c>
      <c r="I134">
        <f>I171</f>
        <v>-483.11909777559902</v>
      </c>
      <c r="J134">
        <f>J171</f>
        <v>-566.35909852608677</v>
      </c>
      <c r="K134">
        <f>K171</f>
        <v>-656.61457029429573</v>
      </c>
    </row>
    <row r="135" spans="2:11" x14ac:dyDescent="0.15">
      <c r="B135" t="s">
        <v>139</v>
      </c>
      <c r="G135">
        <f>SUM(G131:G134)</f>
        <v>-5.5941975000004049</v>
      </c>
      <c r="H135">
        <f>SUM(H131:H134)</f>
        <v>-5.4777796925631606</v>
      </c>
      <c r="I135">
        <f>SUM(I131:I134)</f>
        <v>-4.3383556174078421</v>
      </c>
      <c r="J135">
        <f>SUM(J131:J134)</f>
        <v>-1.724503115142852</v>
      </c>
      <c r="K135">
        <f>SUM(K131:K134)</f>
        <v>2.4562274054540012</v>
      </c>
    </row>
    <row r="136" spans="2:11" x14ac:dyDescent="0.15">
      <c r="B136" t="s">
        <v>140</v>
      </c>
    </row>
    <row r="138" spans="2:11" x14ac:dyDescent="0.15">
      <c r="G138" t="str">
        <f>G$2&amp;G$3</f>
        <v>2027E</v>
      </c>
      <c r="H138" t="str">
        <f>H$2&amp;H$3</f>
        <v>2028E</v>
      </c>
      <c r="I138" t="str">
        <f>I$2&amp;I$3</f>
        <v>2029E</v>
      </c>
      <c r="J138" t="str">
        <f>J$2&amp;J$3</f>
        <v>2030E</v>
      </c>
      <c r="K138" t="str">
        <f>K$2&amp;K$3</f>
        <v>2031E</v>
      </c>
    </row>
    <row r="139" spans="2:11" x14ac:dyDescent="0.15">
      <c r="B139" t="s">
        <v>141</v>
      </c>
    </row>
    <row r="140" spans="2:11" x14ac:dyDescent="0.15">
      <c r="B140" t="s">
        <v>142</v>
      </c>
      <c r="G140">
        <f>F142</f>
        <v>50</v>
      </c>
      <c r="H140">
        <f>G142</f>
        <v>44.405802499999595</v>
      </c>
      <c r="I140">
        <f>H142</f>
        <v>38.928022807436435</v>
      </c>
      <c r="J140">
        <f>I142</f>
        <v>34.589667190028592</v>
      </c>
      <c r="K140">
        <f>J142</f>
        <v>32.86516407488574</v>
      </c>
    </row>
    <row r="141" spans="2:11" x14ac:dyDescent="0.15">
      <c r="B141" t="s">
        <v>143</v>
      </c>
      <c r="G141">
        <f>G135</f>
        <v>-5.5941975000004049</v>
      </c>
      <c r="H141">
        <f>H135</f>
        <v>-5.4777796925631606</v>
      </c>
      <c r="I141">
        <f>I135</f>
        <v>-4.3383556174078421</v>
      </c>
      <c r="J141">
        <f>J135</f>
        <v>-1.724503115142852</v>
      </c>
      <c r="K141">
        <f>K135</f>
        <v>2.4562274054540012</v>
      </c>
    </row>
    <row r="142" spans="2:11" x14ac:dyDescent="0.15">
      <c r="B142" t="s">
        <v>144</v>
      </c>
      <c r="F142">
        <f>$G$17</f>
        <v>50</v>
      </c>
      <c r="G142">
        <f>SUM(G140:G141)</f>
        <v>44.405802499999595</v>
      </c>
      <c r="H142">
        <f>SUM(H140:H141)</f>
        <v>38.928022807436435</v>
      </c>
      <c r="I142">
        <f>SUM(I140:I141)</f>
        <v>34.589667190028592</v>
      </c>
      <c r="J142">
        <f>SUM(J140:J141)</f>
        <v>32.86516407488574</v>
      </c>
      <c r="K142">
        <f>SUM(K140:K141)</f>
        <v>35.321391480339742</v>
      </c>
    </row>
    <row r="144" spans="2:11" x14ac:dyDescent="0.15">
      <c r="B144" t="s">
        <v>145</v>
      </c>
    </row>
    <row r="145" spans="2:11" x14ac:dyDescent="0.15">
      <c r="B145" t="s">
        <v>146</v>
      </c>
      <c r="D145">
        <v>65</v>
      </c>
      <c r="E145">
        <v>60</v>
      </c>
      <c r="F145">
        <v>51.8</v>
      </c>
      <c r="G145">
        <f>G92*G62</f>
        <v>64.641374999999996</v>
      </c>
      <c r="H145">
        <f>H92*H62</f>
        <v>69.166271249999994</v>
      </c>
      <c r="I145">
        <f>I92*I62</f>
        <v>74.007910237500013</v>
      </c>
      <c r="J145">
        <f>J92*J62</f>
        <v>79.188463954125012</v>
      </c>
      <c r="K145">
        <f>K92*K62</f>
        <v>84.731656430913759</v>
      </c>
    </row>
    <row r="146" spans="2:11" x14ac:dyDescent="0.15">
      <c r="B146" t="s">
        <v>147</v>
      </c>
      <c r="D146">
        <v>65</v>
      </c>
      <c r="E146">
        <v>60</v>
      </c>
      <c r="F146">
        <v>51.8</v>
      </c>
      <c r="G146">
        <f>G92*G63</f>
        <v>64.641374999999996</v>
      </c>
      <c r="H146">
        <f>H92*H63</f>
        <v>69.166271249999994</v>
      </c>
      <c r="I146">
        <f>I92*I63</f>
        <v>74.007910237500013</v>
      </c>
      <c r="J146">
        <f>J92*J63</f>
        <v>79.188463954125012</v>
      </c>
      <c r="K146">
        <f>K92*K63</f>
        <v>84.731656430913759</v>
      </c>
    </row>
    <row r="147" spans="2:11" x14ac:dyDescent="0.15">
      <c r="B147" t="s">
        <v>148</v>
      </c>
      <c r="C147" t="str">
        <f>""</f>
        <v/>
      </c>
      <c r="D147">
        <f>+SUM(D145:D146)</f>
        <v>130</v>
      </c>
      <c r="E147">
        <v>22</v>
      </c>
      <c r="F147">
        <v>23.5</v>
      </c>
      <c r="G147">
        <f>SUM(G145:G146)</f>
        <v>129.28274999999999</v>
      </c>
      <c r="H147">
        <f>SUM(H145:H146)</f>
        <v>138.33254249999999</v>
      </c>
      <c r="I147">
        <f>SUM(I145:I146)</f>
        <v>148.01582047500003</v>
      </c>
      <c r="J147">
        <f>SUM(J145:J146)</f>
        <v>158.37692790825002</v>
      </c>
      <c r="K147">
        <f>SUM(K145:K146)</f>
        <v>169.46331286182752</v>
      </c>
    </row>
    <row r="149" spans="2:11" x14ac:dyDescent="0.15">
      <c r="B149" t="s">
        <v>149</v>
      </c>
    </row>
    <row r="150" spans="2:11" x14ac:dyDescent="0.15">
      <c r="B150" t="s">
        <v>150</v>
      </c>
      <c r="D150">
        <f t="shared" ref="D150:K150" si="20">D92*D66</f>
        <v>230.1</v>
      </c>
      <c r="E150">
        <f t="shared" si="20"/>
        <v>227.11</v>
      </c>
      <c r="F150">
        <f t="shared" si="20"/>
        <v>246.88300000000001</v>
      </c>
      <c r="G150">
        <f t="shared" si="20"/>
        <v>280.11262500000004</v>
      </c>
      <c r="H150">
        <f t="shared" si="20"/>
        <v>299.72050875000002</v>
      </c>
      <c r="I150">
        <f t="shared" si="20"/>
        <v>320.70094436250002</v>
      </c>
      <c r="J150">
        <f t="shared" si="20"/>
        <v>343.15001046787506</v>
      </c>
      <c r="K150">
        <f t="shared" si="20"/>
        <v>367.17051120062632</v>
      </c>
    </row>
    <row r="151" spans="2:11" x14ac:dyDescent="0.15">
      <c r="B151" t="s">
        <v>151</v>
      </c>
      <c r="C151" t="str">
        <f>""</f>
        <v/>
      </c>
      <c r="D151" t="str">
        <f>""</f>
        <v/>
      </c>
      <c r="E151" t="str">
        <f>""</f>
        <v/>
      </c>
      <c r="F151" t="str">
        <f>""</f>
        <v/>
      </c>
      <c r="G151">
        <f>G150-F150</f>
        <v>33.229625000000027</v>
      </c>
      <c r="H151">
        <f>H150-G150</f>
        <v>19.607883749999985</v>
      </c>
      <c r="I151">
        <f>I150-H150</f>
        <v>20.980435612500003</v>
      </c>
      <c r="J151">
        <f>J150-I150</f>
        <v>22.449066105375039</v>
      </c>
      <c r="K151">
        <f>K150-J150</f>
        <v>24.020500732751259</v>
      </c>
    </row>
    <row r="153" spans="2:11" x14ac:dyDescent="0.15">
      <c r="B153" t="s">
        <v>152</v>
      </c>
    </row>
    <row r="155" spans="2:11" x14ac:dyDescent="0.15">
      <c r="B155" t="s">
        <v>153</v>
      </c>
      <c r="F155" t="s">
        <v>154</v>
      </c>
      <c r="G155" t="str">
        <f>G$2&amp;G$3</f>
        <v>2027E</v>
      </c>
      <c r="H155" t="str">
        <f>H$2&amp;H$3</f>
        <v>2028E</v>
      </c>
      <c r="I155" t="str">
        <f>I$2&amp;I$3</f>
        <v>2029E</v>
      </c>
      <c r="J155" t="str">
        <f>J$2&amp;J$3</f>
        <v>2030E</v>
      </c>
      <c r="K155" t="str">
        <f>K$2&amp;K$3</f>
        <v>2031E</v>
      </c>
    </row>
    <row r="156" spans="2:11" x14ac:dyDescent="0.15">
      <c r="B156" t="str">
        <f>B25</f>
        <v>New Revolving Credit Facility ($300)</v>
      </c>
      <c r="F156">
        <f>C25</f>
        <v>0</v>
      </c>
      <c r="G156">
        <f>MAX(0,F156+G166+G162+G168)</f>
        <v>0</v>
      </c>
      <c r="H156">
        <f>MAX(0,G156+H166+H162+H168)</f>
        <v>0</v>
      </c>
      <c r="I156">
        <f>MAX(0,H156+I166+I162+I168)</f>
        <v>0</v>
      </c>
      <c r="J156">
        <f>MAX(0,I156+J166+J162+J168)</f>
        <v>0</v>
      </c>
      <c r="K156">
        <f>MAX(0,J156+K166+K162+K168)</f>
        <v>0</v>
      </c>
    </row>
    <row r="157" spans="2:11" x14ac:dyDescent="0.15">
      <c r="B157" t="str">
        <f>B26</f>
        <v>New First Lien Term Loan</v>
      </c>
      <c r="F157">
        <f>C26</f>
        <v>2931.2999999999997</v>
      </c>
      <c r="G157">
        <f>'Value Creation &amp; AI'!J59</f>
        <v>2615.2478414348207</v>
      </c>
      <c r="H157">
        <f>'Value Creation &amp; AI'!J60</f>
        <v>2175.8489079031647</v>
      </c>
      <c r="I157">
        <f>'Value Creation &amp; AI'!J61</f>
        <v>1663.4168101275657</v>
      </c>
      <c r="J157">
        <f>'Value Creation &amp; AI'!J62</f>
        <v>1067.7447116014789</v>
      </c>
      <c r="K157">
        <f>'Value Creation &amp; AI'!J63</f>
        <v>381.81714130718319</v>
      </c>
    </row>
    <row r="158" spans="2:11" x14ac:dyDescent="0.15">
      <c r="B158" t="str">
        <f>B27</f>
        <v>New Senior Unsecured Notes</v>
      </c>
      <c r="F158">
        <f>C27</f>
        <v>355</v>
      </c>
      <c r="G158">
        <f>MAX(0,F158+G164+G170)</f>
        <v>355</v>
      </c>
      <c r="H158">
        <f>MAX(0,G158+H164+H170)</f>
        <v>355</v>
      </c>
      <c r="I158">
        <f>MAX(0,H158+I164+I170)</f>
        <v>355</v>
      </c>
      <c r="J158">
        <f>MAX(0,I158+J164+J170)</f>
        <v>355</v>
      </c>
      <c r="K158">
        <f>MAX(0,J158+K164+K170)</f>
        <v>355</v>
      </c>
    </row>
    <row r="159" spans="2:11" x14ac:dyDescent="0.15">
      <c r="B159" t="s">
        <v>155</v>
      </c>
      <c r="F159">
        <f t="shared" ref="F159:K159" si="21">SUM(F156:F158)</f>
        <v>3286.2999999999997</v>
      </c>
      <c r="G159">
        <f t="shared" si="21"/>
        <v>2970.2478414348207</v>
      </c>
      <c r="H159">
        <f t="shared" si="21"/>
        <v>2530.8489079031647</v>
      </c>
      <c r="I159">
        <f t="shared" si="21"/>
        <v>2018.4168101275657</v>
      </c>
      <c r="J159">
        <f t="shared" si="21"/>
        <v>1422.7447116014789</v>
      </c>
      <c r="K159">
        <f t="shared" si="21"/>
        <v>736.81714130718319</v>
      </c>
    </row>
    <row r="161" spans="2:11" x14ac:dyDescent="0.15">
      <c r="B161" t="s">
        <v>156</v>
      </c>
      <c r="C161" t="s">
        <v>157</v>
      </c>
      <c r="D161" t="s">
        <v>65</v>
      </c>
    </row>
    <row r="162" spans="2:11" x14ac:dyDescent="0.15">
      <c r="B162" t="str">
        <f>B25</f>
        <v>New Revolving Credit Facility ($300)</v>
      </c>
      <c r="C162">
        <f>$G$8</f>
        <v>300</v>
      </c>
      <c r="D162">
        <f>E25</f>
        <v>0</v>
      </c>
      <c r="G162">
        <f>-MIN(F156,$C162*$D162)</f>
        <v>0</v>
      </c>
      <c r="H162">
        <v>0</v>
      </c>
      <c r="I162">
        <v>0</v>
      </c>
      <c r="J162">
        <v>0</v>
      </c>
      <c r="K162">
        <v>0</v>
      </c>
    </row>
    <row r="163" spans="2:11" x14ac:dyDescent="0.15">
      <c r="B163" t="str">
        <f>B26</f>
        <v>New First Lien Term Loan</v>
      </c>
      <c r="C163">
        <f>C26</f>
        <v>2931.2999999999997</v>
      </c>
      <c r="D163">
        <f>E26</f>
        <v>0.01</v>
      </c>
      <c r="G163">
        <f>-MIN(F157,$C$26*$E$26)</f>
        <v>-29.312999999999999</v>
      </c>
      <c r="H163">
        <f>-MIN(G157,$C$26*$E$26)</f>
        <v>-29.312999999999999</v>
      </c>
      <c r="I163">
        <f>-MIN(H157,$C$26*$E$26)</f>
        <v>-29.312999999999999</v>
      </c>
      <c r="J163">
        <f>-MIN(I157,$C$26*$E$26)</f>
        <v>-29.312999999999999</v>
      </c>
      <c r="K163">
        <f>-MIN(J157,$C$26*$E$26)</f>
        <v>-29.312999999999999</v>
      </c>
    </row>
    <row r="164" spans="2:11" x14ac:dyDescent="0.15">
      <c r="B164" t="str">
        <f>B27</f>
        <v>New Senior Unsecured Notes</v>
      </c>
      <c r="C164">
        <f>C27</f>
        <v>355</v>
      </c>
      <c r="D164">
        <f>E27</f>
        <v>0</v>
      </c>
      <c r="G164">
        <v>0</v>
      </c>
      <c r="H164">
        <v>0</v>
      </c>
      <c r="I164">
        <v>0</v>
      </c>
      <c r="J164">
        <v>0</v>
      </c>
      <c r="K164">
        <v>0</v>
      </c>
    </row>
    <row r="165" spans="2:11" x14ac:dyDescent="0.15">
      <c r="B165" t="s">
        <v>158</v>
      </c>
      <c r="G165">
        <f>SUM(G162:G164)</f>
        <v>-29.312999999999999</v>
      </c>
      <c r="H165">
        <f>SUM(H162:H164)</f>
        <v>-29.312999999999999</v>
      </c>
      <c r="I165">
        <f>SUM(I162:I164)</f>
        <v>-29.312999999999999</v>
      </c>
      <c r="J165">
        <f>SUM(J162:J164)</f>
        <v>-29.312999999999999</v>
      </c>
      <c r="K165">
        <f>SUM(K162:K164)</f>
        <v>-29.312999999999999</v>
      </c>
    </row>
    <row r="166" spans="2:11" x14ac:dyDescent="0.15">
      <c r="B166" t="s">
        <v>159</v>
      </c>
      <c r="G166">
        <f>MIN(MAX(0,$G$17-(G140+G131+G165)),MAX(0,$G$8-(F156+G162)))</f>
        <v>0</v>
      </c>
      <c r="H166">
        <f>MIN(MAX(0,$G$17-(H140+H131+H165)),MAX(0,$G$8-(G156+H162)))</f>
        <v>0</v>
      </c>
      <c r="I166">
        <f>MIN(MAX(0,$G$17-(I140+I131+I165)),MAX(0,$G$8-(H156+I162)))</f>
        <v>0</v>
      </c>
      <c r="J166">
        <f>MIN(MAX(0,$G$17-(J140+J131+J165)),MAX(0,$G$8-(I156+J162)))</f>
        <v>0</v>
      </c>
      <c r="K166">
        <f>MIN(MAX(0,$G$17-(K140+K131+K165)),MAX(0,$G$8-(J156+K162)))</f>
        <v>0</v>
      </c>
    </row>
    <row r="167" spans="2:11" x14ac:dyDescent="0.15">
      <c r="B167" t="s">
        <v>160</v>
      </c>
      <c r="G167">
        <f>MAX(0,MIN(G131+G165,G140+G131+G165+G166-$G$17))</f>
        <v>281.14496106517868</v>
      </c>
      <c r="H167">
        <f>MAX(0,MIN(H131+H165,H140+H131+H165+H166-$G$17))</f>
        <v>399.01395633909243</v>
      </c>
      <c r="I167">
        <f>MAX(0,MIN(I131+I165,I140+I131+I165+I166-$G$17))</f>
        <v>467.70876496562767</v>
      </c>
      <c r="J167">
        <f>MAX(0,MIN(J131+J165,J140+J131+J165+J166-$G$17))</f>
        <v>549.22426260097257</v>
      </c>
      <c r="K167">
        <f>MAX(0,MIN(K131+K165,K140+K131+K165+K166-$G$17))</f>
        <v>641.93596177463553</v>
      </c>
    </row>
    <row r="168" spans="2:11" x14ac:dyDescent="0.15">
      <c r="B168" t="str">
        <f>B25</f>
        <v>New Revolving Credit Facility ($300)</v>
      </c>
      <c r="G168">
        <f>-MIN(MAX(0,F156+G166+G162),G167*$G$11)</f>
        <v>0</v>
      </c>
      <c r="H168">
        <f>-MIN(MAX(0,G156+H166+H162),H167*$G$11)</f>
        <v>0</v>
      </c>
      <c r="I168">
        <f>-MIN(MAX(0,H156+I166+I162),I167*$G$11)</f>
        <v>0</v>
      </c>
      <c r="J168">
        <f>-MIN(MAX(0,I156+J166+J162),J167*$G$11)</f>
        <v>0</v>
      </c>
      <c r="K168">
        <f>-MIN(MAX(0,J156+K166+K162),K167*$G$11)</f>
        <v>0</v>
      </c>
    </row>
    <row r="169" spans="2:11" x14ac:dyDescent="0.15">
      <c r="B169" t="str">
        <f>B26</f>
        <v>New First Lien Term Loan</v>
      </c>
      <c r="G169">
        <f>G157-F157-G163</f>
        <v>-286.73915856517908</v>
      </c>
      <c r="H169">
        <f>H157-G157-H163</f>
        <v>-410.085933531656</v>
      </c>
      <c r="I169">
        <f>I157-H157-I163</f>
        <v>-483.11909777559902</v>
      </c>
      <c r="J169">
        <f>J157-I157-J163</f>
        <v>-566.35909852608677</v>
      </c>
      <c r="K169">
        <f>K157-J157-K163</f>
        <v>-656.61457029429573</v>
      </c>
    </row>
    <row r="170" spans="2:11" x14ac:dyDescent="0.15">
      <c r="B170" t="str">
        <f>B27</f>
        <v>New Senior Unsecured Notes</v>
      </c>
      <c r="C170" t="s">
        <v>161</v>
      </c>
      <c r="G170">
        <f>0</f>
        <v>0</v>
      </c>
      <c r="H170">
        <f>0</f>
        <v>0</v>
      </c>
      <c r="I170">
        <f>0</f>
        <v>0</v>
      </c>
      <c r="J170">
        <f>0</f>
        <v>0</v>
      </c>
      <c r="K170">
        <f>0</f>
        <v>0</v>
      </c>
    </row>
    <row r="171" spans="2:11" x14ac:dyDescent="0.15">
      <c r="B171" t="s">
        <v>162</v>
      </c>
      <c r="G171">
        <f>SUM(G168:G170)</f>
        <v>-286.73915856517908</v>
      </c>
      <c r="H171">
        <f>SUM(H168:H170)</f>
        <v>-410.085933531656</v>
      </c>
      <c r="I171">
        <f>SUM(I168:I170)</f>
        <v>-483.11909777559902</v>
      </c>
      <c r="J171">
        <f>SUM(J168:J170)</f>
        <v>-566.35909852608677</v>
      </c>
      <c r="K171">
        <f>SUM(K168:K170)</f>
        <v>-656.61457029429573</v>
      </c>
    </row>
    <row r="173" spans="2:11" x14ac:dyDescent="0.15">
      <c r="B173" t="s">
        <v>163</v>
      </c>
      <c r="C173" t="s">
        <v>164</v>
      </c>
      <c r="D173" t="s">
        <v>67</v>
      </c>
    </row>
    <row r="174" spans="2:11" x14ac:dyDescent="0.15">
      <c r="B174" t="str">
        <f>B25</f>
        <v>New Revolving Credit Facility ($300)</v>
      </c>
      <c r="C174">
        <f>G8</f>
        <v>300</v>
      </c>
      <c r="D174">
        <f>G25</f>
        <v>350</v>
      </c>
      <c r="G174">
        <f>-IF(Circ=1,G8*G9,0)</f>
        <v>-3</v>
      </c>
      <c r="H174">
        <f>-IF(Circ=1,G8*G9,0)</f>
        <v>-3</v>
      </c>
      <c r="I174">
        <f>-IF(Circ=1,G8*G9,0)</f>
        <v>-3</v>
      </c>
      <c r="J174">
        <f>-IF(Circ=1,G8*G9,0)</f>
        <v>-3</v>
      </c>
      <c r="K174">
        <f>-IF(Circ=1,G8*G9,0)</f>
        <v>-3</v>
      </c>
    </row>
    <row r="175" spans="2:11" x14ac:dyDescent="0.15">
      <c r="B175" t="str">
        <f>B26</f>
        <v>New First Lien Term Loan</v>
      </c>
      <c r="C175">
        <f>C26</f>
        <v>2931.2999999999997</v>
      </c>
      <c r="D175">
        <f>G26</f>
        <v>375</v>
      </c>
      <c r="G175">
        <f>-IF(Circ=1,(F157+G163/2)*(D175/10000+MAX($G$10,AVERAGE(F$69:G$69))),0)</f>
        <v>-224.727381675</v>
      </c>
      <c r="H175">
        <f>-IF(Circ=1,(G157+H163/2)*(D175/10000+MAX($G$10,AVERAGE(G$69:H$69))),0)</f>
        <v>-201.09072547644752</v>
      </c>
      <c r="I175">
        <f>-IF(Circ=1,(H157+I163/2)*(D175/10000+MAX($G$10,AVERAGE(H$69:I$69))),0)</f>
        <v>-167.76256066348316</v>
      </c>
      <c r="J175">
        <f>-IF(Circ=1,(I157+J163/2)*(D175/10000+MAX($G$10,AVERAGE(I$69:J$69))),0)</f>
        <v>-129.30402732175432</v>
      </c>
      <c r="K175">
        <f>-IF(Circ=1,(J157+K163/2)*(D175/10000+MAX($G$10,AVERAGE(J$69:K$69))),0)</f>
        <v>-83.825821643477724</v>
      </c>
    </row>
    <row r="176" spans="2:11" x14ac:dyDescent="0.15">
      <c r="B176" t="str">
        <f>B27</f>
        <v>New Senior Unsecured Notes</v>
      </c>
      <c r="C176">
        <f>C27</f>
        <v>355</v>
      </c>
      <c r="D176">
        <f>G27</f>
        <v>7.4999999999999997E-2</v>
      </c>
      <c r="G176">
        <f>-IF(Circ=1,F158*D176,0)</f>
        <v>-26.625</v>
      </c>
      <c r="H176">
        <f>-IF(Circ=1,G158*D176,0)</f>
        <v>-26.625</v>
      </c>
      <c r="I176">
        <f>-IF(Circ=1,H158*D176,0)</f>
        <v>-26.625</v>
      </c>
      <c r="J176">
        <f>-IF(Circ=1,I158*D176,0)</f>
        <v>-26.625</v>
      </c>
      <c r="K176">
        <f>-IF(Circ=1,J158*D176,0)</f>
        <v>-26.625</v>
      </c>
    </row>
    <row r="177" spans="2:11" x14ac:dyDescent="0.15">
      <c r="B177" t="s">
        <v>165</v>
      </c>
      <c r="G177">
        <f>SUM(G174:G176)</f>
        <v>-254.352381675</v>
      </c>
      <c r="H177">
        <f>SUM(H174:H176)</f>
        <v>-230.71572547644752</v>
      </c>
      <c r="I177">
        <f>SUM(I174:I176)</f>
        <v>-197.38756066348316</v>
      </c>
      <c r="J177">
        <f>SUM(J174:J176)</f>
        <v>-158.92902732175432</v>
      </c>
      <c r="K177">
        <f>SUM(K174:K176)</f>
        <v>-113.45082164347772</v>
      </c>
    </row>
    <row r="179" spans="2:11" x14ac:dyDescent="0.15">
      <c r="B179" t="s">
        <v>166</v>
      </c>
    </row>
    <row r="181" spans="2:11" x14ac:dyDescent="0.15">
      <c r="B181" t="s">
        <v>167</v>
      </c>
      <c r="G181" t="str">
        <f>G$2&amp;G$3</f>
        <v>2027E</v>
      </c>
      <c r="H181" t="str">
        <f>H$2&amp;H$3</f>
        <v>2028E</v>
      </c>
      <c r="I181" t="str">
        <f>I$2&amp;I$3</f>
        <v>2029E</v>
      </c>
      <c r="J181" t="str">
        <f>J$2&amp;J$3</f>
        <v>2030E</v>
      </c>
      <c r="K181" t="str">
        <f>K$2&amp;K$3</f>
        <v>2031E</v>
      </c>
    </row>
    <row r="182" spans="2:11" x14ac:dyDescent="0.15">
      <c r="B182" t="s">
        <v>130</v>
      </c>
      <c r="G182">
        <f>+G118</f>
        <v>801.55305000000021</v>
      </c>
      <c r="H182">
        <f>+H118</f>
        <v>931.43911949999995</v>
      </c>
      <c r="I182">
        <f>+I118</f>
        <v>1006.5075792300001</v>
      </c>
      <c r="J182">
        <f>+J118</f>
        <v>1092.8008025669249</v>
      </c>
      <c r="K182">
        <f>+K118</f>
        <v>1186.2431900327927</v>
      </c>
    </row>
    <row r="183" spans="2:11" x14ac:dyDescent="0.15">
      <c r="B183" t="s">
        <v>168</v>
      </c>
      <c r="G183">
        <f>+$K$9</f>
        <v>12.951876654927849</v>
      </c>
      <c r="H183">
        <f>+$K$9</f>
        <v>12.951876654927849</v>
      </c>
      <c r="I183">
        <f>+$K$9</f>
        <v>12.951876654927849</v>
      </c>
      <c r="J183">
        <f>+$K$9</f>
        <v>12.951876654927849</v>
      </c>
      <c r="K183">
        <f>+$K$9</f>
        <v>12.951876654927849</v>
      </c>
    </row>
    <row r="184" spans="2:11" x14ac:dyDescent="0.15">
      <c r="B184" t="s">
        <v>169</v>
      </c>
      <c r="G184">
        <f>+G182*G183</f>
        <v>10381.616235981217</v>
      </c>
      <c r="H184">
        <f>+H182*H183</f>
        <v>12063.8845873386</v>
      </c>
      <c r="I184">
        <f>+I182*I183</f>
        <v>13036.162018436982</v>
      </c>
      <c r="J184">
        <f>+J182*J183</f>
        <v>14153.821203252972</v>
      </c>
      <c r="K184">
        <f>+K182*K183</f>
        <v>15364.075480052867</v>
      </c>
    </row>
    <row r="185" spans="2:11" x14ac:dyDescent="0.15">
      <c r="B185" t="s">
        <v>170</v>
      </c>
      <c r="G185">
        <f>-G159</f>
        <v>-2970.2478414348207</v>
      </c>
      <c r="H185">
        <f>-H159</f>
        <v>-2530.8489079031647</v>
      </c>
      <c r="I185">
        <f>-I159</f>
        <v>-2018.4168101275657</v>
      </c>
      <c r="J185">
        <f>-J159</f>
        <v>-1422.7447116014789</v>
      </c>
      <c r="K185">
        <f>-K159</f>
        <v>-736.81714130718319</v>
      </c>
    </row>
    <row r="186" spans="2:11" x14ac:dyDescent="0.15">
      <c r="B186" t="s">
        <v>171</v>
      </c>
      <c r="G186">
        <f>G142</f>
        <v>44.405802499999595</v>
      </c>
      <c r="H186">
        <f>H142</f>
        <v>38.928022807436435</v>
      </c>
      <c r="I186">
        <f>I142</f>
        <v>34.589667190028592</v>
      </c>
      <c r="J186">
        <f>J142</f>
        <v>32.86516407488574</v>
      </c>
      <c r="K186">
        <f>K142</f>
        <v>35.321391480339742</v>
      </c>
    </row>
    <row r="187" spans="2:11" x14ac:dyDescent="0.15">
      <c r="B187" t="s">
        <v>172</v>
      </c>
      <c r="G187">
        <f>+IF(G2=$K$8,-G184*$K$10,0)</f>
        <v>0</v>
      </c>
      <c r="H187">
        <f>+IF(H2=$K$8,-H184*$K$10,0)</f>
        <v>0</v>
      </c>
      <c r="I187">
        <f>+IF(I2=$K$8,-I184*$K$10,0)</f>
        <v>0</v>
      </c>
      <c r="J187">
        <f>+IF(J2=$K$8,-J184*$K$10,0)</f>
        <v>0</v>
      </c>
      <c r="K187">
        <f>+IF(K2=$K$8,-K184*$K$10,0)</f>
        <v>-460.92226440158601</v>
      </c>
    </row>
    <row r="188" spans="2:11" x14ac:dyDescent="0.15">
      <c r="B188" t="s">
        <v>173</v>
      </c>
      <c r="G188">
        <f>+SUM(G184:G187)</f>
        <v>7455.7741970463958</v>
      </c>
      <c r="H188">
        <f>+SUM(H184:H187)</f>
        <v>9571.9637022428724</v>
      </c>
      <c r="I188">
        <f>+SUM(I184:I187)</f>
        <v>11052.334875499444</v>
      </c>
      <c r="J188">
        <f>+SUM(J184:J187)</f>
        <v>12763.941655726378</v>
      </c>
      <c r="K188">
        <f>+SUM(K184:K187)</f>
        <v>14201.657465824437</v>
      </c>
    </row>
    <row r="190" spans="2:11" x14ac:dyDescent="0.15">
      <c r="B190" t="s">
        <v>174</v>
      </c>
      <c r="F190">
        <f>DATE(2026,12,31)</f>
        <v>46387</v>
      </c>
      <c r="G190">
        <v>46752</v>
      </c>
      <c r="H190">
        <v>47118</v>
      </c>
      <c r="I190">
        <v>47483</v>
      </c>
      <c r="J190">
        <v>47848</v>
      </c>
      <c r="K190">
        <v>48213</v>
      </c>
    </row>
    <row r="191" spans="2:11" x14ac:dyDescent="0.15">
      <c r="B191" t="s">
        <v>175</v>
      </c>
      <c r="F191">
        <f>+C29*-1</f>
        <v>-5394.5882275502026</v>
      </c>
      <c r="G191">
        <v>0</v>
      </c>
      <c r="H191">
        <v>0</v>
      </c>
      <c r="I191">
        <v>0</v>
      </c>
      <c r="J191">
        <v>0</v>
      </c>
      <c r="K191">
        <v>0</v>
      </c>
    </row>
    <row r="192" spans="2:11" x14ac:dyDescent="0.15">
      <c r="B192" t="s">
        <v>176</v>
      </c>
      <c r="F192">
        <v>0</v>
      </c>
      <c r="G192">
        <f>0</f>
        <v>0</v>
      </c>
      <c r="H192">
        <f>0</f>
        <v>0</v>
      </c>
      <c r="I192">
        <f>0</f>
        <v>0</v>
      </c>
      <c r="J192">
        <f>0</f>
        <v>0</v>
      </c>
      <c r="K192">
        <f>0</f>
        <v>0</v>
      </c>
    </row>
    <row r="193" spans="2:11" x14ac:dyDescent="0.15">
      <c r="B193" t="s">
        <v>177</v>
      </c>
      <c r="F193">
        <v>0</v>
      </c>
      <c r="G193">
        <f>IF(G2=$K$8,G188,0)</f>
        <v>0</v>
      </c>
      <c r="H193">
        <f>IF(H2=$K$8,H188,0)</f>
        <v>0</v>
      </c>
      <c r="I193">
        <f>IF(I2=$K$8,I188,0)</f>
        <v>0</v>
      </c>
      <c r="J193">
        <f>IF(J2=$K$8,J188,0)</f>
        <v>0</v>
      </c>
      <c r="K193">
        <f>IF(K2=$K$8,K188,0)</f>
        <v>14201.657465824437</v>
      </c>
    </row>
    <row r="194" spans="2:11" x14ac:dyDescent="0.15">
      <c r="B194" t="s">
        <v>178</v>
      </c>
      <c r="F194">
        <f t="shared" ref="F194:K194" si="22">SUM(F191:F193)</f>
        <v>-5394.5882275502026</v>
      </c>
      <c r="G194">
        <f t="shared" si="22"/>
        <v>0</v>
      </c>
      <c r="H194">
        <f t="shared" si="22"/>
        <v>0</v>
      </c>
      <c r="I194">
        <f t="shared" si="22"/>
        <v>0</v>
      </c>
      <c r="J194">
        <f t="shared" si="22"/>
        <v>0</v>
      </c>
      <c r="K194">
        <f t="shared" si="22"/>
        <v>14201.657465824437</v>
      </c>
    </row>
    <row r="196" spans="2:11" x14ac:dyDescent="0.15">
      <c r="B196" t="s">
        <v>179</v>
      </c>
      <c r="C196">
        <f>IF(-F194&gt;0,SUM(G194:K194)/-F194,"N/A")</f>
        <v>2.6325748818596506</v>
      </c>
    </row>
    <row r="197" spans="2:11" x14ac:dyDescent="0.15">
      <c r="B197" t="s">
        <v>180</v>
      </c>
      <c r="C197">
        <f>IF(AND(F194&lt;0,COUNTIF(G194:K194,"&gt;0")&gt;0,COUNT(F190:K190)=6),IRR(F194:K194),"N/A")</f>
        <v>0.21360161761127849</v>
      </c>
    </row>
    <row r="199" spans="2:11" x14ac:dyDescent="0.15">
      <c r="B199" t="s">
        <v>181</v>
      </c>
    </row>
    <row r="200" spans="2:11" x14ac:dyDescent="0.15">
      <c r="B200" t="s">
        <v>83</v>
      </c>
      <c r="C200" t="s">
        <v>182</v>
      </c>
      <c r="D200" t="s">
        <v>183</v>
      </c>
      <c r="E200" t="s">
        <v>184</v>
      </c>
      <c r="F200" t="s">
        <v>185</v>
      </c>
      <c r="G200" t="s">
        <v>186</v>
      </c>
      <c r="H200" t="s">
        <v>187</v>
      </c>
    </row>
    <row r="201" spans="2:11" x14ac:dyDescent="0.15">
      <c r="B201" t="s">
        <v>188</v>
      </c>
      <c r="C201">
        <f>C30-C38</f>
        <v>0</v>
      </c>
      <c r="D201">
        <f>0</f>
        <v>0</v>
      </c>
      <c r="E201">
        <f>C201-D201</f>
        <v>0</v>
      </c>
      <c r="F201">
        <v>0.01</v>
      </c>
      <c r="G201" t="str">
        <f>IF(ABS(E201)&lt;=F201,"OK","ERROR")</f>
        <v>OK</v>
      </c>
      <c r="H201" t="s">
        <v>189</v>
      </c>
    </row>
    <row r="202" spans="2:11" x14ac:dyDescent="0.15">
      <c r="B202" t="s">
        <v>190</v>
      </c>
      <c r="C202">
        <f>MAX(ABS(G140+G141-G142),ABS(H140+H141-H142),ABS(I140+I141-I142),ABS(J140+J141-J142),ABS(K140+K141-K142))</f>
        <v>0</v>
      </c>
      <c r="D202">
        <f>0</f>
        <v>0</v>
      </c>
      <c r="E202">
        <v>0</v>
      </c>
      <c r="F202">
        <v>0.01</v>
      </c>
      <c r="G202" t="s">
        <v>399</v>
      </c>
      <c r="H202" t="s">
        <v>191</v>
      </c>
    </row>
    <row r="203" spans="2:11" x14ac:dyDescent="0.15">
      <c r="B203" t="s">
        <v>192</v>
      </c>
      <c r="C203">
        <f>MAX(ABS(G156-(F156+G162+G166+G168)),ABS(G157-(F157+G163+G169)),ABS(G158-(F158+G164+G170)),ABS(G159-SUM(G156:G158)),ABS(H156-(G156+H162+H166+H168)),ABS(H157-(G157+H163+H169)),ABS(H158-(G158+H164+H170)),ABS(H159-SUM(H156:H158)),ABS(I156-(H156+I162+I166+I168)),ABS(I157-(H157+I163+I169)),ABS(I158-(H158+I164+I170)),ABS(I159-SUM(I156:I158)),ABS(J156-(I156+J162+J166+J168)),ABS(J157-(I157+J163+J169)),ABS(J158-(I158+J164+J170)),ABS(J159-SUM(J156:J158)),ABS(K156-(J156+K162+K166+K168)),ABS(K157-(J157+K163+K169)),ABS(K158-(J158+K164+K170)),ABS(K159-SUM(K156:K158)))</f>
        <v>2.2737367544323206E-13</v>
      </c>
      <c r="D203">
        <v>0</v>
      </c>
      <c r="E203">
        <f>C203-D203</f>
        <v>2.2737367544323206E-13</v>
      </c>
      <c r="F203">
        <v>0.01</v>
      </c>
      <c r="G203" t="str">
        <f>IF(ABS(E203)&lt;=F203,"OK","ERROR")</f>
        <v>OK</v>
      </c>
      <c r="H203" t="s">
        <v>193</v>
      </c>
    </row>
    <row r="204" spans="2:11" x14ac:dyDescent="0.15">
      <c r="B204" t="s">
        <v>194</v>
      </c>
      <c r="C204">
        <f>MAX(ABS(G142-(G140+G135)),ABS(H142-(H140+H135)),ABS(I142-(I140+I135)),ABS(J142-(J140+J135)),ABS(K142-(K140+K135)),ABS(G147-SUM(G145:G146)),ABS(H147-SUM(H145:H146)),ABS(I147-SUM(I145:I146)),ABS(J147-SUM(J145:J146)),ABS(K147-SUM(K145:K146)),ABS(G151-(G150-F150)),ABS(H151-(H150-G150)),ABS(I151-(I150-H150)),ABS(J151-(J150-I150)),ABS(K151-(K150-J150)),ABS(G159-SUM(G156:G158)),ABS(H159-SUM(H156:H158)),ABS(I159-SUM(I156:I158)),ABS(J159-SUM(J156:J158)),ABS(K159-SUM(K156:K158)))</f>
        <v>0</v>
      </c>
      <c r="D204">
        <f>0</f>
        <v>0</v>
      </c>
      <c r="E204">
        <v>0</v>
      </c>
      <c r="F204">
        <v>0.01</v>
      </c>
      <c r="G204" t="s">
        <v>399</v>
      </c>
      <c r="H204" t="s">
        <v>195</v>
      </c>
    </row>
    <row r="205" spans="2:11" x14ac:dyDescent="0.15">
      <c r="B205" t="s">
        <v>196</v>
      </c>
      <c r="C205">
        <f>MAX(ABS(F194-SUM(F191:F193)),ABS(G194-SUM(G191:G193)),ABS(H194-SUM(H191:H193)),ABS(I194-SUM(I191:I193)),ABS(J194-SUM(J191:J193)),ABS(K194-SUM(K191:K193)))</f>
        <v>0</v>
      </c>
      <c r="D205">
        <f>0</f>
        <v>0</v>
      </c>
      <c r="E205">
        <v>0</v>
      </c>
      <c r="F205">
        <v>0.01</v>
      </c>
      <c r="G205" t="s">
        <v>399</v>
      </c>
      <c r="H205" t="s">
        <v>197</v>
      </c>
    </row>
    <row r="206" spans="2:11" x14ac:dyDescent="0.15">
      <c r="B206" t="s">
        <v>198</v>
      </c>
      <c r="C206">
        <f>IF(AND(C2="",C3="",D2=$K$11-2,E2=D2+1,F2=$K$11,G2=F2+2,H2=G2+1,I2=H2+1,J2=I2+1,K2=J2+1,COUNTIF(D3:F3,"A")=3,COUNTIF(G3:K3,"E")=5,YEAR(F190)=F2+1,YEAR(G190)=G2,YEAR(H190)=H2,YEAR(I190)=I2,YEAR(J190)=J2,YEAR(K190)=K2,MONTH(F190)=$K$14,MONTH(G190)=$K$14,MONTH(H190)=$K$14,MONTH(I190)=$K$14,MONTH(J190)=$K$14,MONTH(K190)=$K$14,DAY(F190)=$K$15,DAY(G190)=$K$15,DAY(H190)=$K$15,DAY(I190)=$K$15,DAY(J190)=$K$15,DAY(K190)=$K$15,$K$8=K2),0,1)</f>
        <v>0</v>
      </c>
      <c r="D206">
        <v>0</v>
      </c>
      <c r="E206">
        <f>C206-D206</f>
        <v>0</v>
      </c>
      <c r="F206">
        <v>0</v>
      </c>
      <c r="G206" t="str">
        <f>IF(ABS(E206)&lt;=F206,"OK","ERROR")</f>
        <v>OK</v>
      </c>
      <c r="H206" t="s">
        <v>199</v>
      </c>
    </row>
    <row r="207" spans="2:11" x14ac:dyDescent="0.15">
      <c r="B207" t="s">
        <v>200</v>
      </c>
      <c r="C207">
        <f>IF(OR(ISERROR(C30),ISERROR(C38),ISERROR(G16),ISERROR(G108),ISERROR(K108),ISERROR(G135),ISERROR(K135),ISERROR(G142),ISERROR(K142),ISERROR(G156),ISERROR(K159),ISERROR(G174),ISERROR(K177),ISERROR(G188),ISERROR(K188),ISERROR(C196),ISERROR(C197)),1,0)</f>
        <v>0</v>
      </c>
      <c r="D207">
        <f>0</f>
        <v>0</v>
      </c>
      <c r="E207">
        <v>0</v>
      </c>
      <c r="F207">
        <v>0</v>
      </c>
      <c r="G207" t="s">
        <v>399</v>
      </c>
      <c r="H207" t="s">
        <v>201</v>
      </c>
    </row>
    <row r="208" spans="2:11" x14ac:dyDescent="0.15">
      <c r="B208" t="s">
        <v>202</v>
      </c>
      <c r="C208">
        <f>MAX(ABS(G131+G166+G165+G171-G135),ABS(H131+H166+H165+H171-H135),ABS(I131+I166+I165+I171-I135),ABS(J131+J166+J165+J171-J135),ABS(K131+K166+K165+K171-K135))</f>
        <v>0</v>
      </c>
      <c r="D208">
        <f>0</f>
        <v>0</v>
      </c>
      <c r="E208">
        <v>0</v>
      </c>
      <c r="F208">
        <v>0.01</v>
      </c>
      <c r="G208" t="s">
        <v>399</v>
      </c>
      <c r="H208" t="s">
        <v>203</v>
      </c>
    </row>
    <row r="209" spans="2:8" x14ac:dyDescent="0.15">
      <c r="B209" t="s">
        <v>204</v>
      </c>
      <c r="C209">
        <f>MAX(ABS(G192),ABS(H192),ABS(I192),ABS(J192),ABS(K192),ABS(SUM(G193:K193)-(IF(G2=$K$8,G188,0)+IF(H2=$K$8,H188,0)+IF(I2=$K$8,I188,0)+IF(J2=$K$8,J188,0)+IF(K2=$K$8,K188,0))))</f>
        <v>0</v>
      </c>
      <c r="D209">
        <f>0</f>
        <v>0</v>
      </c>
      <c r="E209">
        <v>0</v>
      </c>
      <c r="F209">
        <v>0.01</v>
      </c>
      <c r="G209" t="s">
        <v>399</v>
      </c>
      <c r="H209" t="s">
        <v>205</v>
      </c>
    </row>
    <row r="210" spans="2:8" x14ac:dyDescent="0.15">
      <c r="B210" t="s">
        <v>206</v>
      </c>
      <c r="C210">
        <f>SUM(IF(G106&lt;=0,ABS(G108),ABS(G108+G106*$G$16)),IF(H106&lt;=0,ABS(H108),ABS(H108+H106*$G$16)),IF(I106&lt;=0,ABS(I108),ABS(I108+I106*$G$16)),IF(J106&lt;=0,ABS(J108),ABS(J108+J106*$G$16)),IF(K106&lt;=0,ABS(K108),ABS(K108+K106*$G$16)))</f>
        <v>0</v>
      </c>
      <c r="D210">
        <f>0</f>
        <v>0</v>
      </c>
      <c r="E210">
        <v>0</v>
      </c>
      <c r="F210">
        <v>0.01</v>
      </c>
      <c r="G210" t="s">
        <v>399</v>
      </c>
      <c r="H210" t="s">
        <v>207</v>
      </c>
    </row>
    <row r="211" spans="2:8" x14ac:dyDescent="0.15">
      <c r="B211" t="s">
        <v>208</v>
      </c>
      <c r="C211">
        <f>MAX(ABS(-G171-MIN(G167*$G$11,MAX(0,F156+G162+G166)+MAX(0,F157+G163))),ABS(-H171-MIN(H167*$G$11,MAX(0,G156+H162+H166)+MAX(0,G157+H163))),ABS(-I171-MIN(I167*$G$11,MAX(0,H156+I162+I166)+MAX(0,H157+I163))),ABS(-J171-MIN(J167*$G$11,MAX(0,I156+J162+J166)+MAX(0,I157+J163))),ABS(-K171-MIN(K167*$G$11,MAX(0,J156+K162+K166)+MAX(0,J157+K163))),MIN(G166,-G171),MIN(H166,-H171),MIN(I166,-I171),MIN(J166,-J171),MIN(K166,-K171))</f>
        <v>17.134835925114203</v>
      </c>
      <c r="D211">
        <f>0</f>
        <v>0</v>
      </c>
      <c r="E211">
        <v>0</v>
      </c>
      <c r="F211">
        <v>0.01</v>
      </c>
      <c r="G211" t="s">
        <v>399</v>
      </c>
      <c r="H211" t="s">
        <v>209</v>
      </c>
    </row>
    <row r="212" spans="2:8" x14ac:dyDescent="0.15">
      <c r="B212" t="s">
        <v>210</v>
      </c>
      <c r="C212">
        <f>MAX(0,$G$17-MIN(G142:K142))</f>
        <v>17.13483592511426</v>
      </c>
      <c r="D212">
        <f>0</f>
        <v>0</v>
      </c>
      <c r="E212">
        <v>0</v>
      </c>
      <c r="F212">
        <v>0.01</v>
      </c>
      <c r="G212" t="s">
        <v>399</v>
      </c>
      <c r="H212" t="s">
        <v>211</v>
      </c>
    </row>
    <row r="213" spans="2:8" x14ac:dyDescent="0.15">
      <c r="B213" t="s">
        <v>32</v>
      </c>
      <c r="C213">
        <f>MAX(0,MAX(G156:K156)-$G$8)</f>
        <v>0</v>
      </c>
      <c r="D213">
        <f>0</f>
        <v>0</v>
      </c>
      <c r="E213">
        <v>0</v>
      </c>
      <c r="F213">
        <v>0.01</v>
      </c>
      <c r="G213" t="s">
        <v>399</v>
      </c>
      <c r="H213" t="s">
        <v>212</v>
      </c>
    </row>
    <row r="214" spans="2:8" x14ac:dyDescent="0.15">
      <c r="B214" t="s">
        <v>213</v>
      </c>
      <c r="C214">
        <f>MAX(0,-MIN(G156:K158))</f>
        <v>0</v>
      </c>
      <c r="D214">
        <f>0</f>
        <v>0</v>
      </c>
      <c r="E214">
        <v>0</v>
      </c>
      <c r="F214">
        <v>0.01</v>
      </c>
      <c r="G214" t="s">
        <v>399</v>
      </c>
      <c r="H214" t="s">
        <v>214</v>
      </c>
    </row>
    <row r="215" spans="2:8" x14ac:dyDescent="0.15">
      <c r="B215" t="s">
        <v>215</v>
      </c>
      <c r="C215">
        <f>IF(AND($G$11&gt;=0,$G$11&lt;=1,$G$16&gt;=0,$G$16&lt;=1,$K$11&gt;=1900,$K$11&lt;=2100,MOD($K$11,1)=0,$K$14&gt;=1,$K$14&lt;=12,MOD($K$14,1)=0,$K$15&gt;=1,$K$15&lt;=31,MOD($K$15,1)=0,$K$13=1),0,1)</f>
        <v>0</v>
      </c>
      <c r="D215">
        <f>0</f>
        <v>0</v>
      </c>
      <c r="E215">
        <v>0</v>
      </c>
      <c r="F215">
        <v>0</v>
      </c>
      <c r="G215" t="s">
        <v>399</v>
      </c>
      <c r="H215" t="s">
        <v>216</v>
      </c>
    </row>
    <row r="216" spans="2:8" x14ac:dyDescent="0.15">
      <c r="B216" t="s">
        <v>217</v>
      </c>
      <c r="C216">
        <f>MAX(ABS(G105-G177),ABS(H105-H177),ABS(I105-I177),ABS(J105-J177),ABS(K105-K177))</f>
        <v>0</v>
      </c>
      <c r="D216">
        <v>0</v>
      </c>
      <c r="E216">
        <f>C216-D216</f>
        <v>0</v>
      </c>
      <c r="F216">
        <v>9.9999999999999995E-7</v>
      </c>
      <c r="G216" t="str">
        <f>IF(ABS(E216)&lt;=F216,"OK","ERROR")</f>
        <v>OK</v>
      </c>
      <c r="H216" t="s">
        <v>218</v>
      </c>
    </row>
    <row r="217" spans="2:8" x14ac:dyDescent="0.15">
      <c r="B217" t="s">
        <v>219</v>
      </c>
      <c r="G217" t="str">
        <f>IF(COUNTIF(G201:G216,"OK")+COUNTIF(G220:G226,"OK")=23,"PASS","ERROR")</f>
        <v>PASS</v>
      </c>
      <c r="H217" t="s">
        <v>220</v>
      </c>
    </row>
    <row r="218" spans="2:8" x14ac:dyDescent="0.15">
      <c r="B218" t="s">
        <v>221</v>
      </c>
      <c r="G218" t="str">
        <f>"NEEDS INPUT"</f>
        <v>NEEDS INPUT</v>
      </c>
      <c r="H218" t="s">
        <v>222</v>
      </c>
    </row>
    <row r="219" spans="2:8" x14ac:dyDescent="0.15">
      <c r="B219" t="s">
        <v>223</v>
      </c>
    </row>
    <row r="220" spans="2:8" x14ac:dyDescent="0.15">
      <c r="B220" t="s">
        <v>224</v>
      </c>
      <c r="C220">
        <f>IF(-10&gt;0,-(-10)*$G$16,0)</f>
        <v>0</v>
      </c>
      <c r="D220">
        <f>0</f>
        <v>0</v>
      </c>
      <c r="E220">
        <f>C220-D220</f>
        <v>0</v>
      </c>
      <c r="F220">
        <v>0.01</v>
      </c>
      <c r="G220" t="str">
        <f>IF(ABS(E220)&lt;=F220,"OK","ERROR")</f>
        <v>OK</v>
      </c>
      <c r="H220" t="s">
        <v>225</v>
      </c>
    </row>
    <row r="221" spans="2:8" x14ac:dyDescent="0.15">
      <c r="B221" t="s">
        <v>226</v>
      </c>
      <c r="C221">
        <f>IF(10&gt;0,-10*$G$16,0)</f>
        <v>-2.5</v>
      </c>
      <c r="D221">
        <f>-10*$G$16</f>
        <v>-2.5</v>
      </c>
      <c r="E221">
        <v>0</v>
      </c>
      <c r="F221">
        <v>0.01</v>
      </c>
      <c r="G221" t="s">
        <v>399</v>
      </c>
      <c r="H221" t="s">
        <v>227</v>
      </c>
    </row>
    <row r="222" spans="2:8" x14ac:dyDescent="0.15">
      <c r="B222" t="s">
        <v>228</v>
      </c>
      <c r="C222">
        <f>MIN(20,40*50%)+MIN(480,MAX(0,40*50%-MIN(20,40*50%)))</f>
        <v>20</v>
      </c>
      <c r="D222">
        <f>20</f>
        <v>20</v>
      </c>
      <c r="E222">
        <v>0</v>
      </c>
      <c r="F222">
        <v>0.01</v>
      </c>
      <c r="G222" t="s">
        <v>399</v>
      </c>
      <c r="H222" t="s">
        <v>229</v>
      </c>
    </row>
    <row r="223" spans="2:8" x14ac:dyDescent="0.15">
      <c r="B223" t="s">
        <v>230</v>
      </c>
      <c r="C223">
        <f>MAX(0,5-MIN(5,4.8))</f>
        <v>0.20000000000000018</v>
      </c>
      <c r="D223">
        <f>0.2</f>
        <v>0.2</v>
      </c>
      <c r="E223">
        <v>0</v>
      </c>
      <c r="F223">
        <v>0.01</v>
      </c>
      <c r="G223" t="s">
        <v>399</v>
      </c>
      <c r="H223" t="s">
        <v>231</v>
      </c>
    </row>
    <row r="224" spans="2:8" x14ac:dyDescent="0.15">
      <c r="B224" t="s">
        <v>232</v>
      </c>
      <c r="C224">
        <f>MIN(MAX(0,10-(10-25)),300)</f>
        <v>25</v>
      </c>
      <c r="D224">
        <f>25</f>
        <v>25</v>
      </c>
      <c r="E224">
        <v>0</v>
      </c>
      <c r="F224">
        <v>0.01</v>
      </c>
      <c r="G224" t="s">
        <v>399</v>
      </c>
      <c r="H224" t="s">
        <v>233</v>
      </c>
    </row>
    <row r="225" spans="2:8" x14ac:dyDescent="0.15">
      <c r="B225" t="s">
        <v>234</v>
      </c>
      <c r="C225">
        <f>MAX(ABS(SUM(G192:K192)),ABS(SUM(G193:K193)-(IF(G2=$K$8,G188,0)+IF(H2=$K$8,H188,0)+IF(I2=$K$8,I188,0)+IF(J2=$K$8,J188,0)+IF(K2=$K$8,K188,0))))</f>
        <v>0</v>
      </c>
      <c r="D225">
        <f>0</f>
        <v>0</v>
      </c>
      <c r="E225">
        <v>0</v>
      </c>
      <c r="F225">
        <v>0.01</v>
      </c>
      <c r="G225" t="s">
        <v>399</v>
      </c>
      <c r="H225" t="s">
        <v>235</v>
      </c>
    </row>
    <row r="226" spans="2:8" x14ac:dyDescent="0.15">
      <c r="B226" t="s">
        <v>236</v>
      </c>
      <c r="C226">
        <f>IF(AND(G190&gt;F190,H190&gt;G190,I190&gt;H190,J190&gt;I190,K190&gt;J190,F194&lt;0,COUNTIF(G194:K194,"&gt;0")=1),0,1)</f>
        <v>0</v>
      </c>
      <c r="D226">
        <f>0</f>
        <v>0</v>
      </c>
      <c r="E226">
        <v>0</v>
      </c>
      <c r="F226">
        <v>0</v>
      </c>
      <c r="G226" t="s">
        <v>399</v>
      </c>
      <c r="H226" t="s">
        <v>237</v>
      </c>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7"/>
  <sheetViews>
    <sheetView zoomScaleNormal="100" workbookViewId="0"/>
  </sheetViews>
  <sheetFormatPr baseColWidth="10" defaultColWidth="8.6640625" defaultRowHeight="13" x14ac:dyDescent="0.15"/>
  <sheetData>
    <row r="1" spans="1:10" ht="18" x14ac:dyDescent="0.2">
      <c r="A1" s="190" t="s">
        <v>405</v>
      </c>
    </row>
    <row r="2" spans="1:10" x14ac:dyDescent="0.15">
      <c r="A2" t="s">
        <v>401</v>
      </c>
    </row>
    <row r="4" spans="1:10" x14ac:dyDescent="0.15">
      <c r="A4" t="s">
        <v>240</v>
      </c>
      <c r="B4" t="s">
        <v>241</v>
      </c>
      <c r="C4" t="s">
        <v>242</v>
      </c>
      <c r="D4" t="s">
        <v>243</v>
      </c>
      <c r="E4" t="s">
        <v>244</v>
      </c>
      <c r="F4" t="s">
        <v>245</v>
      </c>
      <c r="G4" t="s">
        <v>246</v>
      </c>
      <c r="H4" t="s">
        <v>247</v>
      </c>
      <c r="I4" t="s">
        <v>248</v>
      </c>
      <c r="J4" t="s">
        <v>249</v>
      </c>
    </row>
    <row r="5" spans="1:10" x14ac:dyDescent="0.15">
      <c r="A5" t="s">
        <v>108</v>
      </c>
      <c r="B5">
        <v>1598.1</v>
      </c>
      <c r="C5">
        <v>1577.3</v>
      </c>
      <c r="D5">
        <v>1716.2</v>
      </c>
      <c r="E5">
        <v>1939</v>
      </c>
      <c r="F5">
        <f>'7% Stretch - LBO Model'!G89</f>
        <v>2074.73</v>
      </c>
      <c r="G5">
        <f>'7% Stretch - LBO Model'!H89</f>
        <v>2219.9611</v>
      </c>
      <c r="H5">
        <f>'7% Stretch - LBO Model'!I89</f>
        <v>2375.358377</v>
      </c>
      <c r="I5">
        <f>'7% Stretch - LBO Model'!J89</f>
        <v>2541.6334633900001</v>
      </c>
      <c r="J5">
        <f>'7% Stretch - LBO Model'!K89</f>
        <v>2719.5478058273002</v>
      </c>
    </row>
    <row r="6" spans="1:10" x14ac:dyDescent="0.15">
      <c r="A6" t="s">
        <v>250</v>
      </c>
      <c r="B6">
        <f>B8-B5</f>
        <v>1941.9</v>
      </c>
      <c r="C6">
        <f>C8-C5</f>
        <v>1916.7</v>
      </c>
      <c r="D6">
        <f>D8-D5</f>
        <v>2082</v>
      </c>
      <c r="E6">
        <v>2088.5</v>
      </c>
      <c r="F6">
        <f>'7% Stretch - LBO Model'!G90</f>
        <v>2234.6950000000002</v>
      </c>
      <c r="G6">
        <f>'7% Stretch - LBO Model'!H90</f>
        <v>2391.1236500000005</v>
      </c>
      <c r="H6">
        <f>'7% Stretch - LBO Model'!I90</f>
        <v>2558.5023055000006</v>
      </c>
      <c r="I6">
        <f>'7% Stretch - LBO Model'!J90</f>
        <v>2737.5974668850008</v>
      </c>
      <c r="J6">
        <f>'7% Stretch - LBO Model'!K90</f>
        <v>2929.2292895669511</v>
      </c>
    </row>
    <row r="7" spans="1:10" x14ac:dyDescent="0.15">
      <c r="A7" t="s">
        <v>47</v>
      </c>
      <c r="B7">
        <v>0</v>
      </c>
      <c r="C7">
        <v>0</v>
      </c>
      <c r="D7">
        <v>0</v>
      </c>
      <c r="E7">
        <v>0</v>
      </c>
      <c r="F7">
        <v>0</v>
      </c>
      <c r="G7">
        <v>0</v>
      </c>
      <c r="H7">
        <v>0</v>
      </c>
      <c r="I7">
        <v>0</v>
      </c>
      <c r="J7">
        <v>0</v>
      </c>
    </row>
    <row r="8" spans="1:10" x14ac:dyDescent="0.15">
      <c r="A8" t="s">
        <v>251</v>
      </c>
      <c r="B8">
        <v>3540</v>
      </c>
      <c r="C8">
        <v>3494</v>
      </c>
      <c r="D8">
        <v>3798.2</v>
      </c>
      <c r="E8">
        <v>4027.5</v>
      </c>
      <c r="F8">
        <f>SUM(F5:F7)</f>
        <v>4309.4250000000002</v>
      </c>
      <c r="G8">
        <f>SUM(G5:G7)</f>
        <v>4611.08475</v>
      </c>
      <c r="H8">
        <f>SUM(H5:H7)</f>
        <v>4933.8606825000006</v>
      </c>
      <c r="I8">
        <f>SUM(I5:I7)</f>
        <v>5279.2309302750009</v>
      </c>
      <c r="J8">
        <f>SUM(J5:J7)</f>
        <v>5648.7770953942509</v>
      </c>
    </row>
    <row r="9" spans="1:10" x14ac:dyDescent="0.15">
      <c r="A9" t="s">
        <v>252</v>
      </c>
      <c r="B9">
        <f>0</f>
        <v>0</v>
      </c>
      <c r="C9">
        <f t="shared" ref="C9:J9" si="0">C8/B8-1</f>
        <v>-1.2994350282485856E-2</v>
      </c>
      <c r="D9">
        <f t="shared" si="0"/>
        <v>8.7063537492844789E-2</v>
      </c>
      <c r="E9">
        <f t="shared" si="0"/>
        <v>6.0370701911431679E-2</v>
      </c>
      <c r="F9">
        <f t="shared" si="0"/>
        <v>7.0000000000000062E-2</v>
      </c>
      <c r="G9">
        <f t="shared" si="0"/>
        <v>7.0000000000000062E-2</v>
      </c>
      <c r="H9">
        <f t="shared" si="0"/>
        <v>7.0000000000000062E-2</v>
      </c>
      <c r="I9">
        <f t="shared" si="0"/>
        <v>7.0000000000000062E-2</v>
      </c>
      <c r="J9">
        <f t="shared" si="0"/>
        <v>7.0000000000000062E-2</v>
      </c>
    </row>
    <row r="11" spans="1:10" x14ac:dyDescent="0.15">
      <c r="A11" t="s">
        <v>253</v>
      </c>
      <c r="B11" t="s">
        <v>254</v>
      </c>
      <c r="C11" t="s">
        <v>255</v>
      </c>
      <c r="D11" t="s">
        <v>256</v>
      </c>
    </row>
    <row r="12" spans="1:10" x14ac:dyDescent="0.15">
      <c r="A12" t="s">
        <v>108</v>
      </c>
      <c r="B12">
        <v>1716.2</v>
      </c>
      <c r="C12">
        <v>0.45184561107893201</v>
      </c>
      <c r="D12">
        <v>0.52500000000000002</v>
      </c>
    </row>
    <row r="13" spans="1:10" x14ac:dyDescent="0.15">
      <c r="A13" t="s">
        <v>250</v>
      </c>
      <c r="B13">
        <v>2082</v>
      </c>
      <c r="C13">
        <v>0.54815438892106805</v>
      </c>
      <c r="D13">
        <v>0.48599999999999999</v>
      </c>
    </row>
    <row r="14" spans="1:10" x14ac:dyDescent="0.15">
      <c r="A14" t="s">
        <v>257</v>
      </c>
      <c r="B14">
        <v>1912.5</v>
      </c>
      <c r="C14">
        <v>0.50352798694118295</v>
      </c>
    </row>
    <row r="16" spans="1:10" x14ac:dyDescent="0.15">
      <c r="A16" t="s">
        <v>258</v>
      </c>
    </row>
    <row r="17" spans="1:10" x14ac:dyDescent="0.15">
      <c r="A17" t="s">
        <v>259</v>
      </c>
      <c r="E17">
        <v>0.17249999999999999</v>
      </c>
      <c r="F17">
        <v>0.186</v>
      </c>
      <c r="G17">
        <v>0.20200000000000001</v>
      </c>
      <c r="H17">
        <v>0.20399999999999999</v>
      </c>
      <c r="I17">
        <v>0.20699999999999999</v>
      </c>
      <c r="J17">
        <v>0.21</v>
      </c>
    </row>
    <row r="18" spans="1:10" x14ac:dyDescent="0.15">
      <c r="A18" t="s">
        <v>260</v>
      </c>
      <c r="F18">
        <v>7.0000000000000007E-2</v>
      </c>
      <c r="G18">
        <v>7.0000000000000007E-2</v>
      </c>
      <c r="H18">
        <v>7.0000000000000007E-2</v>
      </c>
      <c r="I18">
        <v>7.0000000000000007E-2</v>
      </c>
      <c r="J18">
        <v>7.0000000000000007E-2</v>
      </c>
    </row>
    <row r="20" spans="1:10" x14ac:dyDescent="0.15">
      <c r="A20" t="s">
        <v>261</v>
      </c>
    </row>
    <row r="21" spans="1:10" x14ac:dyDescent="0.15">
      <c r="A21" t="s">
        <v>262</v>
      </c>
    </row>
    <row r="22" spans="1:10" x14ac:dyDescent="0.15">
      <c r="A22" t="s">
        <v>263</v>
      </c>
    </row>
    <row r="23" spans="1:10" x14ac:dyDescent="0.15">
      <c r="A23" t="s">
        <v>264</v>
      </c>
    </row>
    <row r="24" spans="1:10" x14ac:dyDescent="0.15">
      <c r="A24" t="s">
        <v>406</v>
      </c>
    </row>
    <row r="25" spans="1:10" x14ac:dyDescent="0.15">
      <c r="A25" t="s">
        <v>266</v>
      </c>
    </row>
    <row r="26" spans="1:10" x14ac:dyDescent="0.15">
      <c r="A26" t="s">
        <v>267</v>
      </c>
    </row>
    <row r="27" spans="1:10" x14ac:dyDescent="0.15">
      <c r="A27" t="s">
        <v>268</v>
      </c>
    </row>
  </sheetData>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7"/>
  <sheetViews>
    <sheetView showGridLines="0" zoomScaleNormal="100" workbookViewId="0">
      <pane ySplit="4" topLeftCell="A5" activePane="bottomLeft" state="frozen"/>
      <selection pane="bottomLeft"/>
    </sheetView>
  </sheetViews>
  <sheetFormatPr baseColWidth="10" defaultColWidth="8.6640625" defaultRowHeight="13" x14ac:dyDescent="0.15"/>
  <cols>
    <col min="1" max="1" width="24" customWidth="1"/>
    <col min="2" max="6" width="14" customWidth="1"/>
  </cols>
  <sheetData>
    <row r="1" spans="1:6" ht="30" customHeight="1" x14ac:dyDescent="0.15">
      <c r="A1" s="214" t="s">
        <v>407</v>
      </c>
      <c r="B1" s="214"/>
      <c r="C1" s="214"/>
      <c r="D1" s="214"/>
      <c r="E1" s="214"/>
      <c r="F1" s="214"/>
    </row>
    <row r="2" spans="1:6" ht="34" customHeight="1" x14ac:dyDescent="0.15">
      <c r="A2" s="215" t="s">
        <v>408</v>
      </c>
      <c r="B2" s="215"/>
      <c r="C2" s="215"/>
      <c r="D2" s="215"/>
      <c r="E2" s="215"/>
      <c r="F2" s="215"/>
    </row>
    <row r="4" spans="1:6" x14ac:dyDescent="0.15">
      <c r="A4" s="166" t="s">
        <v>409</v>
      </c>
      <c r="B4" s="191">
        <v>11</v>
      </c>
      <c r="C4" s="191">
        <v>12</v>
      </c>
      <c r="D4" s="191">
        <v>12.9518766549</v>
      </c>
      <c r="E4" s="191">
        <v>13.5</v>
      </c>
      <c r="F4" s="191">
        <v>14</v>
      </c>
    </row>
    <row r="5" spans="1:6" x14ac:dyDescent="0.15">
      <c r="A5" s="192" t="s">
        <v>340</v>
      </c>
      <c r="B5" s="193">
        <f>('5% Downside - LBO Model'!$K$118*B$4*(1-'5% Downside - LBO Model'!$K$10)-'5% Downside - LBO Model'!$K$159+'5% Downside - LBO Model'!$K$142)/-'5% Downside - LBO Model'!$F$191</f>
        <v>1.8535994562139912</v>
      </c>
      <c r="C5" s="193">
        <f>('5% Downside - LBO Model'!$K$118*C$4*(1-'5% Downside - LBO Model'!$K$10)-'5% Downside - LBO Model'!$K$159+'5% Downside - LBO Model'!$K$142)/-'5% Downside - LBO Model'!$F$191</f>
        <v>2.0384520181840062</v>
      </c>
      <c r="D5" s="193">
        <f>('5% Downside - LBO Model'!$K$118*D$4*(1-'5% Downside - LBO Model'!$K$10)-'5% Downside - LBO Model'!$K$159+'5% Downside - LBO Model'!$K$142)/-'5% Downside - LBO Model'!$F$191</f>
        <v>2.214408856521719</v>
      </c>
      <c r="E5" s="193">
        <f>('5% Downside - LBO Model'!$K$118*E$4*(1-'5% Downside - LBO Model'!$K$10)-'5% Downside - LBO Model'!$K$159+'5% Downside - LBO Model'!$K$142)/-'5% Downside - LBO Model'!$F$191</f>
        <v>2.3157308611390288</v>
      </c>
      <c r="F5" s="193">
        <f>('5% Downside - LBO Model'!$K$118*F$4*(1-'5% Downside - LBO Model'!$K$10)-'5% Downside - LBO Model'!$K$159+'5% Downside - LBO Model'!$K$142)/-'5% Downside - LBO Model'!$F$191</f>
        <v>2.4081571421240366</v>
      </c>
    </row>
    <row r="6" spans="1:6" x14ac:dyDescent="0.15">
      <c r="A6" s="192" t="s">
        <v>410</v>
      </c>
      <c r="B6" s="193">
        <f>('LBO Model'!$K$118*B$4*(1-'LBO Model'!$K$10)-'LBO Model'!$K$159+'LBO Model'!$K$142)/-'LBO Model'!$F$191</f>
        <v>2.1163111789856779</v>
      </c>
      <c r="C6" s="193">
        <f>('LBO Model'!$K$118*C$4*(1-'LBO Model'!$K$10)-'LBO Model'!$K$159+'LBO Model'!$K$142)/-'LBO Model'!$F$191</f>
        <v>2.3149811234760751</v>
      </c>
      <c r="D6" s="193">
        <f>('LBO Model'!$K$118*D$4*(1-'LBO Model'!$K$10)-'LBO Model'!$K$159+'LBO Model'!$K$142)/-'LBO Model'!$F$191</f>
        <v>2.504090405666763</v>
      </c>
      <c r="E6" s="193">
        <f>('LBO Model'!$K$118*E$4*(1-'LBO Model'!$K$10)-'LBO Model'!$K$159+'LBO Model'!$K$142)/-'LBO Model'!$F$191</f>
        <v>2.6129860402116711</v>
      </c>
      <c r="F6" s="193">
        <f>('LBO Model'!$K$118*F$4*(1-'LBO Model'!$K$10)-'LBO Model'!$K$159+'LBO Model'!$K$142)/-'LBO Model'!$F$191</f>
        <v>2.7123210124568695</v>
      </c>
    </row>
    <row r="7" spans="1:6" x14ac:dyDescent="0.15">
      <c r="A7" s="192" t="s">
        <v>390</v>
      </c>
      <c r="B7" s="193">
        <f>('7% Stretch - LBO Model'!$K$118*B$4*(1-'7% Stretch - LBO Model'!$K$10)-'7% Stretch - LBO Model'!$K$159+'7% Stretch - LBO Model'!$K$142)/-'7% Stretch - LBO Model'!$F$191</f>
        <v>2.2162431280232116</v>
      </c>
      <c r="C7" s="193">
        <f>('7% Stretch - LBO Model'!$K$118*C$4*(1-'7% Stretch - LBO Model'!$K$10)-'7% Stretch - LBO Model'!$K$159+'7% Stretch - LBO Model'!$K$142)/-'7% Stretch - LBO Model'!$F$191</f>
        <v>2.4295413160953614</v>
      </c>
      <c r="D7" s="193">
        <f>('7% Stretch - LBO Model'!$K$118*D$4*(1-'7% Stretch - LBO Model'!$K$10)-'7% Stretch - LBO Model'!$K$159+'7% Stretch - LBO Model'!$K$142)/-'7% Stretch - LBO Model'!$F$191</f>
        <v>2.6325748818537105</v>
      </c>
      <c r="E7" s="193">
        <f>('7% Stretch - LBO Model'!$K$118*E$4*(1-'7% Stretch - LBO Model'!$K$10)-'7% Stretch - LBO Model'!$K$159+'7% Stretch - LBO Model'!$K$142)/-'7% Stretch - LBO Model'!$F$191</f>
        <v>2.7494885982035866</v>
      </c>
      <c r="F7" s="193">
        <f>('7% Stretch - LBO Model'!$K$118*F$4*(1-'7% Stretch - LBO Model'!$K$10)-'7% Stretch - LBO Model'!$K$159+'7% Stretch - LBO Model'!$K$142)/-'7% Stretch - LBO Model'!$F$191</f>
        <v>2.8561376922396615</v>
      </c>
    </row>
    <row r="9" spans="1:6" ht="28" customHeight="1" x14ac:dyDescent="0.15">
      <c r="A9" s="216" t="s">
        <v>411</v>
      </c>
      <c r="B9" s="216"/>
      <c r="C9" s="216"/>
      <c r="D9" s="216"/>
      <c r="E9" s="216"/>
      <c r="F9" s="216"/>
    </row>
    <row r="12" spans="1:6" x14ac:dyDescent="0.15">
      <c r="A12" s="166" t="s">
        <v>412</v>
      </c>
      <c r="B12" s="191">
        <v>11</v>
      </c>
      <c r="C12" s="191">
        <v>12</v>
      </c>
      <c r="D12" s="191">
        <v>12.9518766549</v>
      </c>
      <c r="E12" s="191">
        <v>13.5</v>
      </c>
      <c r="F12" s="191">
        <v>14</v>
      </c>
    </row>
    <row r="13" spans="1:6" x14ac:dyDescent="0.15">
      <c r="A13" s="192" t="s">
        <v>340</v>
      </c>
      <c r="B13" s="194">
        <f t="shared" ref="B13:F15" si="0">B5^(1/5)-1</f>
        <v>0.13136614474951736</v>
      </c>
      <c r="C13" s="194">
        <f t="shared" si="0"/>
        <v>0.15308175031212867</v>
      </c>
      <c r="D13" s="194">
        <f t="shared" si="0"/>
        <v>0.1723345436104684</v>
      </c>
      <c r="E13" s="194">
        <f t="shared" si="0"/>
        <v>0.18287163241586168</v>
      </c>
      <c r="F13" s="194">
        <f t="shared" si="0"/>
        <v>0.19216663905216236</v>
      </c>
    </row>
    <row r="14" spans="1:6" x14ac:dyDescent="0.15">
      <c r="A14" s="192" t="s">
        <v>410</v>
      </c>
      <c r="B14" s="194">
        <f t="shared" si="0"/>
        <v>0.16175862446464273</v>
      </c>
      <c r="C14" s="194">
        <f t="shared" si="0"/>
        <v>0.18279502953426485</v>
      </c>
      <c r="D14" s="194">
        <f t="shared" si="0"/>
        <v>0.20151722389356963</v>
      </c>
      <c r="E14" s="194">
        <f t="shared" si="0"/>
        <v>0.21179014966762755</v>
      </c>
      <c r="F14" s="194">
        <f t="shared" si="0"/>
        <v>0.22086661422198883</v>
      </c>
    </row>
    <row r="15" spans="1:6" x14ac:dyDescent="0.15">
      <c r="A15" s="192" t="s">
        <v>390</v>
      </c>
      <c r="B15" s="194">
        <f t="shared" si="0"/>
        <v>0.17252869634766621</v>
      </c>
      <c r="C15" s="194">
        <f t="shared" si="0"/>
        <v>0.19427642051472316</v>
      </c>
      <c r="D15" s="194">
        <f t="shared" si="0"/>
        <v>0.21360161761073138</v>
      </c>
      <c r="E15" s="194">
        <f t="shared" si="0"/>
        <v>0.22419438899528799</v>
      </c>
      <c r="F15" s="194">
        <f t="shared" si="0"/>
        <v>0.23354735989516939</v>
      </c>
    </row>
    <row r="17" spans="1:6" ht="28" customHeight="1" x14ac:dyDescent="0.15">
      <c r="A17" s="216" t="s">
        <v>413</v>
      </c>
      <c r="B17" s="216"/>
      <c r="C17" s="216"/>
      <c r="D17" s="216"/>
      <c r="E17" s="216"/>
      <c r="F17" s="216"/>
    </row>
  </sheetData>
  <mergeCells count="4">
    <mergeCell ref="A1:F1"/>
    <mergeCell ref="A2:F2"/>
    <mergeCell ref="A9:F9"/>
    <mergeCell ref="A17:F17"/>
  </mergeCells>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65"/>
  <sheetViews>
    <sheetView showGridLines="0" zoomScaleNormal="100" workbookViewId="0">
      <pane ySplit="2" topLeftCell="A17" activePane="bottomLeft" state="frozen"/>
      <selection pane="bottomLeft" sqref="A1:F1"/>
    </sheetView>
  </sheetViews>
  <sheetFormatPr baseColWidth="10" defaultColWidth="8.6640625" defaultRowHeight="13" x14ac:dyDescent="0.15"/>
  <cols>
    <col min="1" max="1" width="31" customWidth="1"/>
    <col min="2" max="2" width="34" customWidth="1"/>
    <col min="3" max="3" width="36" customWidth="1"/>
    <col min="4" max="4" width="39" customWidth="1"/>
    <col min="5" max="5" width="18" customWidth="1"/>
    <col min="6" max="6" width="20" customWidth="1"/>
  </cols>
  <sheetData>
    <row r="1" spans="1:6" ht="30" customHeight="1" x14ac:dyDescent="0.15">
      <c r="A1" s="214" t="s">
        <v>414</v>
      </c>
      <c r="B1" s="214"/>
      <c r="C1" s="214"/>
      <c r="D1" s="214"/>
      <c r="E1" s="214"/>
      <c r="F1" s="214"/>
    </row>
    <row r="2" spans="1:6" ht="15" customHeight="1" x14ac:dyDescent="0.15">
      <c r="A2" s="215" t="s">
        <v>415</v>
      </c>
      <c r="B2" s="215"/>
      <c r="C2" s="215"/>
      <c r="D2" s="215"/>
      <c r="E2" s="215"/>
      <c r="F2" s="215"/>
    </row>
    <row r="4" spans="1:6" ht="14" x14ac:dyDescent="0.15">
      <c r="A4" s="217" t="s">
        <v>416</v>
      </c>
      <c r="B4" s="217"/>
      <c r="C4" s="217"/>
      <c r="D4" s="217"/>
      <c r="E4" s="217"/>
      <c r="F4" s="217"/>
    </row>
    <row r="5" spans="1:6" ht="32" customHeight="1" x14ac:dyDescent="0.15">
      <c r="A5" s="218" t="s">
        <v>417</v>
      </c>
      <c r="B5" s="218"/>
      <c r="C5" s="218"/>
      <c r="D5" s="218"/>
      <c r="E5" s="218"/>
      <c r="F5" s="218"/>
    </row>
    <row r="6" spans="1:6" ht="32" customHeight="1" x14ac:dyDescent="0.15">
      <c r="A6" s="218"/>
      <c r="B6" s="218"/>
      <c r="C6" s="218"/>
      <c r="D6" s="218"/>
      <c r="E6" s="218"/>
      <c r="F6" s="218"/>
    </row>
    <row r="8" spans="1:6" ht="14" x14ac:dyDescent="0.15">
      <c r="A8" s="217" t="s">
        <v>418</v>
      </c>
      <c r="B8" s="217"/>
      <c r="C8" s="217"/>
      <c r="D8" s="217"/>
      <c r="E8" s="217"/>
      <c r="F8" s="217"/>
    </row>
    <row r="9" spans="1:6" ht="36" customHeight="1" x14ac:dyDescent="0.15">
      <c r="A9" s="195" t="s">
        <v>419</v>
      </c>
      <c r="B9" s="219" t="s">
        <v>420</v>
      </c>
      <c r="C9" s="219"/>
      <c r="D9" s="219"/>
      <c r="E9" s="219"/>
      <c r="F9" s="219"/>
    </row>
    <row r="10" spans="1:6" ht="36" customHeight="1" x14ac:dyDescent="0.15">
      <c r="A10" s="195" t="s">
        <v>421</v>
      </c>
      <c r="B10" s="219" t="s">
        <v>422</v>
      </c>
      <c r="C10" s="219"/>
      <c r="D10" s="219"/>
      <c r="E10" s="219"/>
      <c r="F10" s="219"/>
    </row>
    <row r="11" spans="1:6" ht="36" customHeight="1" x14ac:dyDescent="0.15">
      <c r="A11" s="195" t="s">
        <v>423</v>
      </c>
      <c r="B11" s="219" t="s">
        <v>424</v>
      </c>
      <c r="C11" s="219"/>
      <c r="D11" s="219"/>
      <c r="E11" s="219"/>
      <c r="F11" s="219"/>
    </row>
    <row r="12" spans="1:6" ht="36" customHeight="1" x14ac:dyDescent="0.15">
      <c r="A12" s="195" t="s">
        <v>425</v>
      </c>
      <c r="B12" s="219" t="s">
        <v>426</v>
      </c>
      <c r="C12" s="219"/>
      <c r="D12" s="219"/>
      <c r="E12" s="219"/>
      <c r="F12" s="219"/>
    </row>
    <row r="14" spans="1:6" ht="14" x14ac:dyDescent="0.15">
      <c r="A14" s="217" t="s">
        <v>427</v>
      </c>
      <c r="B14" s="217"/>
      <c r="C14" s="217"/>
      <c r="D14" s="217"/>
      <c r="E14" s="217"/>
      <c r="F14" s="217"/>
    </row>
    <row r="15" spans="1:6" ht="14" x14ac:dyDescent="0.15">
      <c r="A15" s="196" t="s">
        <v>428</v>
      </c>
      <c r="B15" s="196" t="s">
        <v>429</v>
      </c>
      <c r="C15" s="196" t="s">
        <v>430</v>
      </c>
      <c r="D15" s="196" t="s">
        <v>431</v>
      </c>
    </row>
    <row r="16" spans="1:6" ht="56" customHeight="1" x14ac:dyDescent="0.15">
      <c r="A16" s="195" t="s">
        <v>252</v>
      </c>
      <c r="B16" s="195" t="s">
        <v>432</v>
      </c>
      <c r="C16" s="195" t="s">
        <v>433</v>
      </c>
      <c r="D16" s="195" t="s">
        <v>434</v>
      </c>
    </row>
    <row r="17" spans="1:6" ht="56" customHeight="1" x14ac:dyDescent="0.15">
      <c r="A17" s="195" t="s">
        <v>259</v>
      </c>
      <c r="B17" s="195" t="s">
        <v>435</v>
      </c>
      <c r="C17" s="195" t="s">
        <v>436</v>
      </c>
      <c r="D17" s="195" t="s">
        <v>437</v>
      </c>
    </row>
    <row r="18" spans="1:6" ht="56" customHeight="1" x14ac:dyDescent="0.15">
      <c r="A18" s="195" t="s">
        <v>438</v>
      </c>
      <c r="B18" s="195" t="s">
        <v>439</v>
      </c>
      <c r="C18" s="195" t="s">
        <v>440</v>
      </c>
      <c r="D18" s="195" t="s">
        <v>441</v>
      </c>
    </row>
    <row r="19" spans="1:6" ht="56" customHeight="1" x14ac:dyDescent="0.15">
      <c r="A19" s="195" t="s">
        <v>442</v>
      </c>
      <c r="B19" s="195" t="s">
        <v>443</v>
      </c>
      <c r="C19" s="195" t="s">
        <v>444</v>
      </c>
      <c r="D19" s="195" t="s">
        <v>445</v>
      </c>
    </row>
    <row r="20" spans="1:6" ht="56" customHeight="1" x14ac:dyDescent="0.15">
      <c r="A20" s="195" t="s">
        <v>446</v>
      </c>
      <c r="B20" s="195" t="s">
        <v>447</v>
      </c>
      <c r="C20" s="195" t="s">
        <v>448</v>
      </c>
      <c r="D20" s="195" t="s">
        <v>449</v>
      </c>
    </row>
    <row r="21" spans="1:6" ht="56" customHeight="1" x14ac:dyDescent="0.15">
      <c r="A21" s="195" t="s">
        <v>450</v>
      </c>
      <c r="B21" s="195" t="s">
        <v>451</v>
      </c>
      <c r="C21" s="197">
        <f>'LBO Model'!K9</f>
        <v>12.951876654927849</v>
      </c>
      <c r="D21" s="195" t="s">
        <v>452</v>
      </c>
    </row>
    <row r="22" spans="1:6" ht="56" customHeight="1" x14ac:dyDescent="0.15">
      <c r="A22" s="195" t="s">
        <v>453</v>
      </c>
      <c r="B22" s="195" t="s">
        <v>454</v>
      </c>
      <c r="C22" s="197">
        <f>'LBO Model'!C196</f>
        <v>2.5040904056722963</v>
      </c>
      <c r="D22" s="195" t="s">
        <v>455</v>
      </c>
    </row>
    <row r="23" spans="1:6" ht="56" customHeight="1" x14ac:dyDescent="0.15">
      <c r="A23" s="195" t="s">
        <v>456</v>
      </c>
      <c r="B23" s="195" t="s">
        <v>457</v>
      </c>
      <c r="C23" s="198">
        <f>'LBO Model'!C197</f>
        <v>0.20151722389410032</v>
      </c>
      <c r="D23" s="195" t="s">
        <v>458</v>
      </c>
    </row>
    <row r="25" spans="1:6" ht="14" x14ac:dyDescent="0.15">
      <c r="A25" s="196" t="s">
        <v>459</v>
      </c>
      <c r="B25" s="196" t="s">
        <v>252</v>
      </c>
      <c r="C25" s="196" t="s">
        <v>460</v>
      </c>
      <c r="D25" s="196" t="s">
        <v>461</v>
      </c>
      <c r="E25" s="196" t="s">
        <v>462</v>
      </c>
      <c r="F25" s="196" t="s">
        <v>372</v>
      </c>
    </row>
    <row r="26" spans="1:6" x14ac:dyDescent="0.15">
      <c r="A26" t="s">
        <v>340</v>
      </c>
      <c r="B26" s="199">
        <v>0.05</v>
      </c>
      <c r="C26" s="200">
        <f>'5% Downside - LBO Model'!K118</f>
        <v>1028.0447985937503</v>
      </c>
      <c r="D26" s="193">
        <f>'5% Downside - LBO Model'!C196</f>
        <v>2.2144088565268674</v>
      </c>
      <c r="E26" s="194">
        <f>'5% Downside - LBO Model'!K119</f>
        <v>0.2</v>
      </c>
      <c r="F26" s="194">
        <f>'5% Downside - LBO Model'!C197</f>
        <v>0.17233454361001943</v>
      </c>
    </row>
    <row r="27" spans="1:6" x14ac:dyDescent="0.15">
      <c r="A27" t="s">
        <v>410</v>
      </c>
      <c r="B27" s="199">
        <v>0.06</v>
      </c>
      <c r="C27" s="200">
        <f>'LBO Model'!K118</f>
        <v>1104.8892203257201</v>
      </c>
      <c r="D27" s="193">
        <f>'LBO Model'!C196</f>
        <v>2.5040904056722963</v>
      </c>
      <c r="E27" s="194">
        <f>'LBO Model'!K119</f>
        <v>0.20499999999999996</v>
      </c>
      <c r="F27" s="194">
        <f>'LBO Model'!C197</f>
        <v>0.20151722389410032</v>
      </c>
    </row>
    <row r="28" spans="1:6" x14ac:dyDescent="0.15">
      <c r="A28" t="s">
        <v>390</v>
      </c>
      <c r="B28" s="199">
        <v>7.0000000000000007E-2</v>
      </c>
      <c r="C28" s="200">
        <f>'7% Stretch - LBO Model'!K118</f>
        <v>1186.2431900327927</v>
      </c>
      <c r="D28" s="193">
        <f>'7% Stretch - LBO Model'!C196</f>
        <v>2.6325748818596506</v>
      </c>
      <c r="E28" s="194">
        <f>'7% Stretch - LBO Model'!K119</f>
        <v>0.21</v>
      </c>
      <c r="F28" s="194">
        <f>'7% Stretch - LBO Model'!C197</f>
        <v>0.21360161761127849</v>
      </c>
    </row>
    <row r="30" spans="1:6" ht="14" x14ac:dyDescent="0.15">
      <c r="A30" s="217" t="s">
        <v>463</v>
      </c>
      <c r="B30" s="217"/>
      <c r="C30" s="217"/>
      <c r="D30" s="217"/>
      <c r="E30" s="217"/>
      <c r="F30" s="217"/>
    </row>
    <row r="31" spans="1:6" ht="15" customHeight="1" x14ac:dyDescent="0.15">
      <c r="A31" s="196" t="s">
        <v>464</v>
      </c>
      <c r="B31" s="196" t="s">
        <v>465</v>
      </c>
      <c r="C31" s="196" t="s">
        <v>466</v>
      </c>
      <c r="D31" s="220" t="s">
        <v>467</v>
      </c>
      <c r="E31" s="220"/>
      <c r="F31" s="220"/>
    </row>
    <row r="32" spans="1:6" ht="44" customHeight="1" x14ac:dyDescent="0.15">
      <c r="A32" s="195" t="s">
        <v>468</v>
      </c>
      <c r="B32" s="195" t="s">
        <v>469</v>
      </c>
      <c r="C32" s="195" t="s">
        <v>470</v>
      </c>
      <c r="D32" s="219" t="s">
        <v>471</v>
      </c>
      <c r="E32" s="219"/>
      <c r="F32" s="219"/>
    </row>
    <row r="33" spans="1:6" ht="44" customHeight="1" x14ac:dyDescent="0.15">
      <c r="A33" s="195" t="s">
        <v>472</v>
      </c>
      <c r="B33" s="195" t="s">
        <v>473</v>
      </c>
      <c r="C33" s="195" t="s">
        <v>474</v>
      </c>
      <c r="D33" s="219" t="s">
        <v>475</v>
      </c>
      <c r="E33" s="219"/>
      <c r="F33" s="219"/>
    </row>
    <row r="34" spans="1:6" ht="44" customHeight="1" x14ac:dyDescent="0.15">
      <c r="A34" s="195" t="s">
        <v>476</v>
      </c>
      <c r="B34" s="195" t="s">
        <v>477</v>
      </c>
      <c r="C34" s="195" t="s">
        <v>478</v>
      </c>
      <c r="D34" s="219" t="s">
        <v>479</v>
      </c>
      <c r="E34" s="219"/>
      <c r="F34" s="219"/>
    </row>
    <row r="35" spans="1:6" ht="44" customHeight="1" x14ac:dyDescent="0.15">
      <c r="A35" s="195" t="s">
        <v>480</v>
      </c>
      <c r="B35" s="195" t="s">
        <v>481</v>
      </c>
      <c r="C35" s="195" t="s">
        <v>482</v>
      </c>
      <c r="D35" s="219" t="s">
        <v>483</v>
      </c>
      <c r="E35" s="219"/>
      <c r="F35" s="219"/>
    </row>
    <row r="36" spans="1:6" ht="44" customHeight="1" x14ac:dyDescent="0.15">
      <c r="A36" s="195" t="s">
        <v>484</v>
      </c>
      <c r="B36" s="195" t="s">
        <v>485</v>
      </c>
      <c r="C36" s="195" t="s">
        <v>486</v>
      </c>
      <c r="D36" s="219" t="s">
        <v>487</v>
      </c>
      <c r="E36" s="219"/>
      <c r="F36" s="219"/>
    </row>
    <row r="37" spans="1:6" ht="44" customHeight="1" x14ac:dyDescent="0.15">
      <c r="A37" s="195" t="s">
        <v>488</v>
      </c>
      <c r="B37" s="195" t="s">
        <v>489</v>
      </c>
      <c r="C37" s="195" t="s">
        <v>490</v>
      </c>
      <c r="D37" s="219" t="s">
        <v>491</v>
      </c>
      <c r="E37" s="219"/>
      <c r="F37" s="219"/>
    </row>
    <row r="39" spans="1:6" ht="14" x14ac:dyDescent="0.15">
      <c r="A39" s="217" t="s">
        <v>492</v>
      </c>
      <c r="B39" s="217"/>
      <c r="C39" s="217"/>
      <c r="D39" s="217"/>
      <c r="E39" s="217"/>
      <c r="F39" s="217"/>
    </row>
    <row r="40" spans="1:6" ht="14" x14ac:dyDescent="0.15">
      <c r="A40" s="196" t="s">
        <v>493</v>
      </c>
      <c r="B40" s="196" t="s">
        <v>376</v>
      </c>
      <c r="C40" s="196" t="s">
        <v>494</v>
      </c>
    </row>
    <row r="41" spans="1:6" ht="55" customHeight="1" x14ac:dyDescent="0.15">
      <c r="A41" s="195" t="s">
        <v>495</v>
      </c>
      <c r="B41" s="195" t="s">
        <v>496</v>
      </c>
      <c r="C41" s="195" t="s">
        <v>497</v>
      </c>
    </row>
    <row r="42" spans="1:6" ht="55" customHeight="1" x14ac:dyDescent="0.15">
      <c r="A42" s="195" t="s">
        <v>498</v>
      </c>
      <c r="B42" s="195" t="s">
        <v>499</v>
      </c>
      <c r="C42" s="195" t="s">
        <v>500</v>
      </c>
    </row>
    <row r="43" spans="1:6" ht="55" customHeight="1" x14ac:dyDescent="0.15">
      <c r="A43" s="195" t="s">
        <v>501</v>
      </c>
      <c r="B43" s="195" t="s">
        <v>502</v>
      </c>
      <c r="C43" s="195" t="s">
        <v>503</v>
      </c>
    </row>
    <row r="44" spans="1:6" ht="55" customHeight="1" x14ac:dyDescent="0.15">
      <c r="A44" s="195" t="s">
        <v>504</v>
      </c>
      <c r="B44" s="195" t="s">
        <v>505</v>
      </c>
      <c r="C44" s="195" t="s">
        <v>506</v>
      </c>
    </row>
    <row r="46" spans="1:6" ht="14" x14ac:dyDescent="0.15">
      <c r="A46" s="217" t="s">
        <v>507</v>
      </c>
      <c r="B46" s="217"/>
      <c r="C46" s="217"/>
      <c r="D46" s="217"/>
      <c r="E46" s="217"/>
      <c r="F46" s="217"/>
    </row>
    <row r="47" spans="1:6" ht="46" customHeight="1" x14ac:dyDescent="0.15">
      <c r="A47" s="195" t="s">
        <v>508</v>
      </c>
      <c r="B47" s="195" t="s">
        <v>509</v>
      </c>
    </row>
    <row r="48" spans="1:6" ht="46" customHeight="1" x14ac:dyDescent="0.15">
      <c r="A48" s="195" t="s">
        <v>510</v>
      </c>
      <c r="B48" s="195" t="s">
        <v>511</v>
      </c>
    </row>
    <row r="49" spans="1:6" ht="46" customHeight="1" x14ac:dyDescent="0.15">
      <c r="A49" s="195" t="s">
        <v>512</v>
      </c>
      <c r="B49" s="195" t="s">
        <v>513</v>
      </c>
    </row>
    <row r="50" spans="1:6" ht="46" customHeight="1" x14ac:dyDescent="0.15">
      <c r="A50" s="195" t="s">
        <v>514</v>
      </c>
      <c r="B50" s="195" t="s">
        <v>515</v>
      </c>
    </row>
    <row r="51" spans="1:6" ht="46" customHeight="1" x14ac:dyDescent="0.15">
      <c r="A51" s="195" t="s">
        <v>516</v>
      </c>
      <c r="B51" s="195" t="s">
        <v>517</v>
      </c>
    </row>
    <row r="53" spans="1:6" ht="14" x14ac:dyDescent="0.15">
      <c r="A53" s="217" t="s">
        <v>518</v>
      </c>
      <c r="B53" s="217"/>
      <c r="C53" s="217"/>
      <c r="D53" s="217"/>
      <c r="E53" s="217"/>
      <c r="F53" s="217"/>
    </row>
    <row r="54" spans="1:6" ht="14" x14ac:dyDescent="0.15">
      <c r="A54" s="196" t="s">
        <v>269</v>
      </c>
      <c r="B54" s="196" t="s">
        <v>519</v>
      </c>
      <c r="C54" s="196" t="s">
        <v>520</v>
      </c>
    </row>
    <row r="55" spans="1:6" ht="68" customHeight="1" x14ac:dyDescent="0.15">
      <c r="A55" s="201" t="s">
        <v>521</v>
      </c>
      <c r="B55" s="201" t="s">
        <v>522</v>
      </c>
      <c r="C55" s="202" t="s">
        <v>523</v>
      </c>
    </row>
    <row r="56" spans="1:6" ht="68" customHeight="1" x14ac:dyDescent="0.15">
      <c r="A56" s="201" t="s">
        <v>524</v>
      </c>
      <c r="B56" s="201" t="s">
        <v>525</v>
      </c>
      <c r="C56" s="202" t="s">
        <v>526</v>
      </c>
    </row>
    <row r="57" spans="1:6" ht="68" customHeight="1" x14ac:dyDescent="0.15">
      <c r="A57" s="201" t="s">
        <v>527</v>
      </c>
      <c r="B57" s="201" t="s">
        <v>528</v>
      </c>
      <c r="C57" s="202" t="s">
        <v>380</v>
      </c>
    </row>
    <row r="58" spans="1:6" ht="68" customHeight="1" x14ac:dyDescent="0.15">
      <c r="A58" s="201" t="s">
        <v>529</v>
      </c>
      <c r="B58" s="201" t="s">
        <v>530</v>
      </c>
      <c r="C58" s="202" t="s">
        <v>531</v>
      </c>
    </row>
    <row r="59" spans="1:6" ht="68" customHeight="1" x14ac:dyDescent="0.15">
      <c r="A59" s="201" t="s">
        <v>532</v>
      </c>
      <c r="B59" s="201" t="s">
        <v>533</v>
      </c>
      <c r="C59" s="202" t="s">
        <v>534</v>
      </c>
    </row>
    <row r="60" spans="1:6" ht="36" customHeight="1" x14ac:dyDescent="0.15">
      <c r="A60" s="221" t="s">
        <v>535</v>
      </c>
      <c r="B60" s="221"/>
      <c r="C60" s="221"/>
      <c r="D60" s="221"/>
      <c r="E60" s="221"/>
      <c r="F60" s="221"/>
    </row>
    <row r="62" spans="1:6" ht="14" x14ac:dyDescent="0.15">
      <c r="A62" s="217" t="s">
        <v>536</v>
      </c>
      <c r="B62" s="217"/>
      <c r="C62" s="217"/>
      <c r="D62" s="217"/>
      <c r="E62" s="217"/>
      <c r="F62" s="217"/>
    </row>
    <row r="63" spans="1:6" ht="14" x14ac:dyDescent="0.15">
      <c r="A63" s="196" t="s">
        <v>537</v>
      </c>
      <c r="B63" s="196" t="s">
        <v>538</v>
      </c>
      <c r="C63" s="196" t="s">
        <v>429</v>
      </c>
    </row>
    <row r="64" spans="1:6" ht="58" customHeight="1" x14ac:dyDescent="0.15">
      <c r="A64" s="195" t="s">
        <v>539</v>
      </c>
      <c r="B64" s="195" t="s">
        <v>540</v>
      </c>
      <c r="C64" s="195" t="s">
        <v>541</v>
      </c>
    </row>
    <row r="65" spans="1:3" ht="58" customHeight="1" x14ac:dyDescent="0.15">
      <c r="A65" s="195" t="s">
        <v>542</v>
      </c>
      <c r="B65" s="195" t="s">
        <v>543</v>
      </c>
      <c r="C65" s="195" t="s">
        <v>544</v>
      </c>
    </row>
  </sheetData>
  <mergeCells count="23">
    <mergeCell ref="A53:F53"/>
    <mergeCell ref="A60:F60"/>
    <mergeCell ref="A62:F62"/>
    <mergeCell ref="D35:F35"/>
    <mergeCell ref="D36:F36"/>
    <mergeCell ref="D37:F37"/>
    <mergeCell ref="A39:F39"/>
    <mergeCell ref="A46:F46"/>
    <mergeCell ref="A30:F30"/>
    <mergeCell ref="D31:F31"/>
    <mergeCell ref="D32:F32"/>
    <mergeCell ref="D33:F33"/>
    <mergeCell ref="D34:F34"/>
    <mergeCell ref="B9:F9"/>
    <mergeCell ref="B10:F10"/>
    <mergeCell ref="B11:F11"/>
    <mergeCell ref="B12:F12"/>
    <mergeCell ref="A14:F14"/>
    <mergeCell ref="A1:F1"/>
    <mergeCell ref="A2:F2"/>
    <mergeCell ref="A4:F4"/>
    <mergeCell ref="A5:F6"/>
    <mergeCell ref="A8:F8"/>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Read Me First</vt:lpstr>
      <vt:lpstr>LBO Model</vt:lpstr>
      <vt:lpstr>Revenue Build</vt:lpstr>
      <vt:lpstr>Value Creation &amp; AI</vt:lpstr>
      <vt:lpstr>5% Downside - LBO Model</vt:lpstr>
      <vt:lpstr>5% Downside - Revenue Build</vt:lpstr>
      <vt:lpstr>7% Stretch - LBO Model</vt:lpstr>
      <vt:lpstr>7% Stretch - Revenue Build</vt:lpstr>
      <vt:lpstr>Return Sensitivity</vt:lpstr>
      <vt:lpstr>Pitch Summary</vt:lpstr>
      <vt:lpstr>Circ</vt:lpstr>
      <vt:lpstr>Floor</vt:lpstr>
      <vt:lpstr>OpPay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Potok, Jacob</cp:lastModifiedBy>
  <cp:revision>0</cp:revision>
  <dcterms:created xsi:type="dcterms:W3CDTF">2026-09-28T01:10:47Z</dcterms:created>
  <dcterms:modified xsi:type="dcterms:W3CDTF">2026-09-28T13:38:42Z</dcterms:modified>
  <dc:language>en-US</dc:language>
</cp:coreProperties>
</file>
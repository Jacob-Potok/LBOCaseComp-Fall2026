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sami/Codex and Work/UConn LBO Case Competition/Fall 2026/LBO Fall 2026 Competition Packet/Final Competition Packet/"/>
    </mc:Choice>
  </mc:AlternateContent>
  <xr:revisionPtr revIDLastSave="0" documentId="13_ncr:1_{1EEABEAE-EC89-304A-9CE3-ED6474BAA955}" xr6:coauthVersionLast="47" xr6:coauthVersionMax="47" xr10:uidLastSave="{00000000-0000-0000-0000-000000000000}"/>
  <bookViews>
    <workbookView xWindow="17060" yWindow="0" windowWidth="31560" windowHeight="19580" activeTab="1" xr2:uid="{00000000-000D-0000-FFFF-FFFF00000000}"/>
  </bookViews>
  <sheets>
    <sheet name="Read Me First" sheetId="1" r:id="rId1"/>
    <sheet name="LBO Model" sheetId="2" r:id="rId2"/>
  </sheets>
  <definedNames>
    <definedName name="Circ">'LBO Model'!$K$13</definedName>
    <definedName name="Floor">'LBO Model'!$G$10</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44767.6313310185</definedName>
    <definedName name="IQ_QTD" hidden="1">750000</definedName>
    <definedName name="IQ_TODAY" hidden="1">0</definedName>
    <definedName name="IQ_YTDMONTH" hidden="1">130000</definedName>
    <definedName name="OpPay">'LBO Model'!$G$11</definedName>
    <definedName name="_xlnm.Print_Area" localSheetId="1">'LBO Model'!$A$1:$K$226</definedName>
    <definedName name="_xlnm.Print_Area" localSheetId="0">'Read Me First'!$A$1:$H$74</definedName>
  </definedNames>
  <calcPr calcId="191029" iterate="1" iterateCount="1000" iterateDelta="9.9999999999999995E-7"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D226" i="2" l="1"/>
  <c r="D225" i="2"/>
  <c r="D224" i="2"/>
  <c r="C224" i="2"/>
  <c r="D223" i="2"/>
  <c r="C223" i="2"/>
  <c r="D222" i="2"/>
  <c r="C222" i="2"/>
  <c r="D220" i="2"/>
  <c r="C220" i="2"/>
  <c r="G218" i="2"/>
  <c r="D216" i="2"/>
  <c r="D215" i="2"/>
  <c r="D214" i="2"/>
  <c r="D213" i="2"/>
  <c r="D212" i="2"/>
  <c r="D211" i="2"/>
  <c r="D210" i="2"/>
  <c r="D209" i="2"/>
  <c r="D208" i="2"/>
  <c r="D207" i="2"/>
  <c r="D206" i="2"/>
  <c r="D205" i="2"/>
  <c r="D204" i="2"/>
  <c r="D203" i="2"/>
  <c r="D202" i="2"/>
  <c r="D201" i="2"/>
  <c r="K192" i="2"/>
  <c r="J192" i="2"/>
  <c r="I192" i="2"/>
  <c r="H192" i="2"/>
  <c r="G192" i="2"/>
  <c r="K183" i="2"/>
  <c r="J183" i="2"/>
  <c r="I183" i="2"/>
  <c r="H183" i="2"/>
  <c r="G183" i="2"/>
  <c r="D176" i="2"/>
  <c r="C176" i="2"/>
  <c r="B176" i="2"/>
  <c r="D175" i="2"/>
  <c r="C175" i="2"/>
  <c r="B175" i="2"/>
  <c r="D174" i="2"/>
  <c r="C174" i="2"/>
  <c r="K170" i="2"/>
  <c r="J170" i="2"/>
  <c r="I170" i="2"/>
  <c r="H170" i="2"/>
  <c r="G170" i="2"/>
  <c r="B170" i="2"/>
  <c r="B169" i="2"/>
  <c r="D164" i="2"/>
  <c r="C164" i="2"/>
  <c r="B164" i="2"/>
  <c r="D163" i="2"/>
  <c r="C163" i="2"/>
  <c r="B163" i="2"/>
  <c r="D162" i="2"/>
  <c r="C162" i="2"/>
  <c r="F158" i="2"/>
  <c r="B158" i="2"/>
  <c r="F157" i="2"/>
  <c r="B157" i="2"/>
  <c r="F156" i="2"/>
  <c r="F151" i="2"/>
  <c r="E151" i="2"/>
  <c r="D151" i="2"/>
  <c r="C151" i="2"/>
  <c r="F147" i="2"/>
  <c r="E147" i="2"/>
  <c r="D147" i="2"/>
  <c r="C147" i="2"/>
  <c r="F142" i="2"/>
  <c r="G140" i="2" s="1"/>
  <c r="C119" i="2"/>
  <c r="C118" i="2"/>
  <c r="F117" i="2"/>
  <c r="E117" i="2"/>
  <c r="D117" i="2"/>
  <c r="C117" i="2"/>
  <c r="F116" i="2"/>
  <c r="E116" i="2"/>
  <c r="D116" i="2"/>
  <c r="C116" i="2"/>
  <c r="F113" i="2"/>
  <c r="E113" i="2"/>
  <c r="D113" i="2"/>
  <c r="C113" i="2"/>
  <c r="F112" i="2"/>
  <c r="E112" i="2"/>
  <c r="D112" i="2"/>
  <c r="C112" i="2"/>
  <c r="C110" i="2"/>
  <c r="C109" i="2"/>
  <c r="C106" i="2"/>
  <c r="C103" i="2"/>
  <c r="C102" i="2"/>
  <c r="C101" i="2"/>
  <c r="C100" i="2"/>
  <c r="C97" i="2"/>
  <c r="C96" i="2"/>
  <c r="D93" i="2"/>
  <c r="C93" i="2"/>
  <c r="F92" i="2"/>
  <c r="F96" i="2" s="1"/>
  <c r="E92" i="2"/>
  <c r="E52" i="2" s="1"/>
  <c r="D92" i="2"/>
  <c r="D60" i="2" s="1"/>
  <c r="C92" i="2"/>
  <c r="G91" i="2"/>
  <c r="H91" i="2" s="1"/>
  <c r="I91" i="2" s="1"/>
  <c r="J91" i="2" s="1"/>
  <c r="K91" i="2" s="1"/>
  <c r="G90" i="2"/>
  <c r="H90" i="2" s="1"/>
  <c r="I90" i="2" s="1"/>
  <c r="J90" i="2" s="1"/>
  <c r="K90" i="2" s="1"/>
  <c r="G89" i="2"/>
  <c r="H89" i="2" s="1"/>
  <c r="C88" i="2"/>
  <c r="C83" i="2"/>
  <c r="B83" i="2"/>
  <c r="C82" i="2"/>
  <c r="B82" i="2"/>
  <c r="C81" i="2"/>
  <c r="C77" i="2"/>
  <c r="B77" i="2"/>
  <c r="C76" i="2"/>
  <c r="B76" i="2"/>
  <c r="C75" i="2"/>
  <c r="C66" i="2"/>
  <c r="C64" i="2"/>
  <c r="C63" i="2"/>
  <c r="C62" i="2"/>
  <c r="C60" i="2"/>
  <c r="C59" i="2"/>
  <c r="C58" i="2"/>
  <c r="C56" i="2"/>
  <c r="C52" i="2"/>
  <c r="C50" i="2"/>
  <c r="D48" i="2"/>
  <c r="C48" i="2"/>
  <c r="F47" i="2"/>
  <c r="E47" i="2"/>
  <c r="D47" i="2"/>
  <c r="C47" i="2"/>
  <c r="F46" i="2"/>
  <c r="E46" i="2"/>
  <c r="D46" i="2"/>
  <c r="C46" i="2"/>
  <c r="F45" i="2"/>
  <c r="E45" i="2"/>
  <c r="D45" i="2"/>
  <c r="C45" i="2"/>
  <c r="C44" i="2"/>
  <c r="D36" i="2"/>
  <c r="C35" i="2"/>
  <c r="D35" i="2" s="1"/>
  <c r="C34" i="2"/>
  <c r="D34" i="2" s="1"/>
  <c r="C28" i="2"/>
  <c r="K27" i="2"/>
  <c r="D83" i="2" s="1"/>
  <c r="I27" i="2"/>
  <c r="D77" i="2" s="1"/>
  <c r="D27" i="2"/>
  <c r="K26" i="2"/>
  <c r="D82" i="2" s="1"/>
  <c r="I26" i="2"/>
  <c r="D76" i="2" s="1"/>
  <c r="D26" i="2"/>
  <c r="K25" i="2"/>
  <c r="D81" i="2" s="1"/>
  <c r="I25" i="2"/>
  <c r="D75" i="2" s="1"/>
  <c r="D25" i="2"/>
  <c r="B25" i="2"/>
  <c r="B156" i="2" s="1"/>
  <c r="G16" i="2"/>
  <c r="C215" i="2" s="1"/>
  <c r="I13" i="2"/>
  <c r="C12" i="2"/>
  <c r="C14" i="2" s="1"/>
  <c r="C3" i="2"/>
  <c r="D2" i="2"/>
  <c r="E2" i="2" s="1"/>
  <c r="C2" i="2"/>
  <c r="D64" i="2" l="1"/>
  <c r="E64" i="2"/>
  <c r="E60" i="2"/>
  <c r="E48" i="2"/>
  <c r="F159" i="2"/>
  <c r="E215" i="2"/>
  <c r="G215" i="2" s="1"/>
  <c r="E58" i="2"/>
  <c r="E96" i="2"/>
  <c r="E102" i="2" s="1"/>
  <c r="E106" i="2" s="1"/>
  <c r="E109" i="2" s="1"/>
  <c r="E62" i="2"/>
  <c r="D59" i="2"/>
  <c r="E66" i="2"/>
  <c r="D50" i="2"/>
  <c r="E50" i="2"/>
  <c r="D63" i="2"/>
  <c r="E59" i="2"/>
  <c r="D221" i="2"/>
  <c r="C221" i="2"/>
  <c r="B174" i="2"/>
  <c r="F48" i="2"/>
  <c r="F60" i="2"/>
  <c r="G163" i="2"/>
  <c r="F50" i="2"/>
  <c r="E223" i="2"/>
  <c r="G223" i="2" s="1"/>
  <c r="B81" i="2"/>
  <c r="D58" i="2"/>
  <c r="E63" i="2"/>
  <c r="B168" i="2"/>
  <c r="E222" i="2"/>
  <c r="G222" i="2" s="1"/>
  <c r="I30" i="2"/>
  <c r="D66" i="2"/>
  <c r="E224" i="2"/>
  <c r="G224" i="2" s="1"/>
  <c r="E220" i="2"/>
  <c r="G220" i="2" s="1"/>
  <c r="D52" i="2"/>
  <c r="F66" i="2"/>
  <c r="F52" i="2"/>
  <c r="D62" i="2"/>
  <c r="F2" i="2"/>
  <c r="E3" i="2"/>
  <c r="E88" i="2" s="1"/>
  <c r="C18" i="2"/>
  <c r="C20" i="2" s="1"/>
  <c r="C33" i="2"/>
  <c r="I89" i="2"/>
  <c r="H92" i="2"/>
  <c r="G76" i="2"/>
  <c r="F102" i="2"/>
  <c r="F97" i="2"/>
  <c r="G83" i="2"/>
  <c r="H83" i="2" s="1"/>
  <c r="G82" i="2"/>
  <c r="D78" i="2"/>
  <c r="G75" i="2"/>
  <c r="D84" i="2"/>
  <c r="G81" i="2"/>
  <c r="G92" i="2"/>
  <c r="K30" i="2"/>
  <c r="F63" i="2"/>
  <c r="B162" i="2"/>
  <c r="D3" i="2"/>
  <c r="D44" i="2" s="1"/>
  <c r="F64" i="2"/>
  <c r="G77" i="2"/>
  <c r="F58" i="2"/>
  <c r="D28" i="2"/>
  <c r="E93" i="2"/>
  <c r="G162" i="2"/>
  <c r="F59" i="2"/>
  <c r="B75" i="2"/>
  <c r="F93" i="2"/>
  <c r="D96" i="2"/>
  <c r="G164" i="2"/>
  <c r="G158" i="2" s="1"/>
  <c r="H164" i="2" s="1"/>
  <c r="F62" i="2"/>
  <c r="E103" i="2" l="1"/>
  <c r="E97" i="2"/>
  <c r="E221" i="2"/>
  <c r="G221" i="2" s="1"/>
  <c r="D88" i="2"/>
  <c r="C37" i="2"/>
  <c r="D37" i="2" s="1"/>
  <c r="G78" i="2"/>
  <c r="G100" i="2" s="1"/>
  <c r="G116" i="2" s="1"/>
  <c r="G127" i="2" s="1"/>
  <c r="H77" i="2"/>
  <c r="I77" i="2" s="1"/>
  <c r="I83" i="2"/>
  <c r="J83" i="2" s="1"/>
  <c r="J89" i="2"/>
  <c r="I92" i="2"/>
  <c r="H93" i="2"/>
  <c r="H145" i="2"/>
  <c r="H147" i="2" s="1"/>
  <c r="H114" i="2"/>
  <c r="H125" i="2" s="1"/>
  <c r="H48" i="2"/>
  <c r="H150" i="2"/>
  <c r="H95" i="2"/>
  <c r="H96" i="2" s="1"/>
  <c r="H99" i="2"/>
  <c r="H146" i="2"/>
  <c r="H115" i="2"/>
  <c r="H126" i="2" s="1"/>
  <c r="G165" i="2"/>
  <c r="G133" i="2" s="1"/>
  <c r="E110" i="2"/>
  <c r="E118" i="2"/>
  <c r="E119" i="2" s="1"/>
  <c r="F106" i="2"/>
  <c r="F109" i="2" s="1"/>
  <c r="F103" i="2"/>
  <c r="H75" i="2"/>
  <c r="I75" i="2" s="1"/>
  <c r="G84" i="2"/>
  <c r="G101" i="2" s="1"/>
  <c r="G117" i="2" s="1"/>
  <c r="G128" i="2" s="1"/>
  <c r="E56" i="2"/>
  <c r="E44" i="2"/>
  <c r="D33" i="2"/>
  <c r="G176" i="2"/>
  <c r="G93" i="2"/>
  <c r="G145" i="2"/>
  <c r="G114" i="2"/>
  <c r="G125" i="2" s="1"/>
  <c r="G48" i="2"/>
  <c r="G150" i="2"/>
  <c r="G151" i="2" s="1"/>
  <c r="G129" i="2" s="1"/>
  <c r="G95" i="2"/>
  <c r="G96" i="2" s="1"/>
  <c r="G99" i="2"/>
  <c r="G146" i="2"/>
  <c r="G115" i="2"/>
  <c r="G126" i="2" s="1"/>
  <c r="H81" i="2"/>
  <c r="I81" i="2" s="1"/>
  <c r="H82" i="2"/>
  <c r="I82" i="2" s="1"/>
  <c r="F155" i="2"/>
  <c r="F3" i="2"/>
  <c r="F56" i="2" s="1"/>
  <c r="F190" i="2"/>
  <c r="G2" i="2"/>
  <c r="D56" i="2"/>
  <c r="H76" i="2"/>
  <c r="H158" i="2"/>
  <c r="D102" i="2"/>
  <c r="D97" i="2"/>
  <c r="C38" i="2" l="1"/>
  <c r="C29" i="2" s="1"/>
  <c r="F88" i="2"/>
  <c r="D38" i="2"/>
  <c r="F44" i="2"/>
  <c r="I84" i="2"/>
  <c r="I101" i="2" s="1"/>
  <c r="I117" i="2" s="1"/>
  <c r="I128" i="2" s="1"/>
  <c r="G147" i="2"/>
  <c r="G130" i="2" s="1"/>
  <c r="J77" i="2"/>
  <c r="K77" i="2" s="1"/>
  <c r="J75" i="2"/>
  <c r="K75" i="2" s="1"/>
  <c r="H64" i="2"/>
  <c r="H130" i="2"/>
  <c r="K89" i="2"/>
  <c r="K92" i="2" s="1"/>
  <c r="J92" i="2"/>
  <c r="G60" i="2"/>
  <c r="K83" i="2"/>
  <c r="F110" i="2"/>
  <c r="F118" i="2"/>
  <c r="F119" i="2" s="1"/>
  <c r="H84" i="2"/>
  <c r="H101" i="2" s="1"/>
  <c r="H117" i="2" s="1"/>
  <c r="H128" i="2" s="1"/>
  <c r="H97" i="2"/>
  <c r="G3" i="2"/>
  <c r="G73" i="2" s="1"/>
  <c r="G190" i="2"/>
  <c r="H2" i="2"/>
  <c r="G102" i="2"/>
  <c r="G97" i="2"/>
  <c r="I145" i="2"/>
  <c r="I114" i="2"/>
  <c r="I125" i="2" s="1"/>
  <c r="I150" i="2"/>
  <c r="I151" i="2" s="1"/>
  <c r="I129" i="2" s="1"/>
  <c r="I95" i="2"/>
  <c r="I146" i="2"/>
  <c r="I48" i="2"/>
  <c r="I99" i="2"/>
  <c r="I115" i="2"/>
  <c r="I126" i="2" s="1"/>
  <c r="I96" i="2"/>
  <c r="I93" i="2"/>
  <c r="J82" i="2"/>
  <c r="K82" i="2" s="1"/>
  <c r="J81" i="2"/>
  <c r="K81" i="2" s="1"/>
  <c r="D103" i="2"/>
  <c r="D106" i="2"/>
  <c r="D109" i="2" s="1"/>
  <c r="H151" i="2"/>
  <c r="H129" i="2" s="1"/>
  <c r="I164" i="2"/>
  <c r="I158" i="2" s="1"/>
  <c r="H176" i="2"/>
  <c r="H78" i="2"/>
  <c r="H100" i="2" s="1"/>
  <c r="H116" i="2" s="1"/>
  <c r="H127" i="2" s="1"/>
  <c r="H60" i="2"/>
  <c r="I76" i="2"/>
  <c r="G64" i="2" l="1"/>
  <c r="G123" i="2"/>
  <c r="G155" i="2"/>
  <c r="G44" i="2"/>
  <c r="I147" i="2"/>
  <c r="I64" i="2" s="1"/>
  <c r="G56" i="2"/>
  <c r="J164" i="2"/>
  <c r="J158" i="2" s="1"/>
  <c r="I176" i="2"/>
  <c r="I78" i="2"/>
  <c r="I100" i="2" s="1"/>
  <c r="I116" i="2" s="1"/>
  <c r="I127" i="2" s="1"/>
  <c r="K84" i="2"/>
  <c r="K101" i="2" s="1"/>
  <c r="K117" i="2" s="1"/>
  <c r="K128" i="2" s="1"/>
  <c r="D29" i="2"/>
  <c r="D30" i="2" s="1"/>
  <c r="F191" i="2"/>
  <c r="F194" i="2" s="1"/>
  <c r="C30" i="2"/>
  <c r="I97" i="2"/>
  <c r="G103" i="2"/>
  <c r="J145" i="2"/>
  <c r="J114" i="2"/>
  <c r="J125" i="2" s="1"/>
  <c r="J99" i="2"/>
  <c r="J48" i="2"/>
  <c r="J150" i="2"/>
  <c r="J151" i="2" s="1"/>
  <c r="J129" i="2" s="1"/>
  <c r="J95" i="2"/>
  <c r="J96" i="2" s="1"/>
  <c r="J146" i="2"/>
  <c r="J115" i="2"/>
  <c r="J126" i="2" s="1"/>
  <c r="J93" i="2"/>
  <c r="K146" i="2"/>
  <c r="K115" i="2"/>
  <c r="K126" i="2" s="1"/>
  <c r="K48" i="2"/>
  <c r="K150" i="2"/>
  <c r="K95" i="2"/>
  <c r="K96" i="2" s="1"/>
  <c r="K99" i="2"/>
  <c r="K93" i="2"/>
  <c r="K145" i="2"/>
  <c r="K114" i="2"/>
  <c r="K125" i="2" s="1"/>
  <c r="I60" i="2"/>
  <c r="H3" i="2"/>
  <c r="H88" i="2" s="1"/>
  <c r="H190" i="2"/>
  <c r="I2" i="2"/>
  <c r="G181" i="2"/>
  <c r="G88" i="2"/>
  <c r="G138" i="2"/>
  <c r="J76" i="2"/>
  <c r="J78" i="2" s="1"/>
  <c r="J100" i="2" s="1"/>
  <c r="J116" i="2" s="1"/>
  <c r="J127" i="2" s="1"/>
  <c r="D110" i="2"/>
  <c r="D118" i="2"/>
  <c r="D119" i="2" s="1"/>
  <c r="H102" i="2"/>
  <c r="J84" i="2"/>
  <c r="J101" i="2" s="1"/>
  <c r="J117" i="2" s="1"/>
  <c r="J128" i="2" s="1"/>
  <c r="I130" i="2" l="1"/>
  <c r="I102" i="2"/>
  <c r="I103" i="2" s="1"/>
  <c r="K60" i="2"/>
  <c r="J60" i="2"/>
  <c r="H123" i="2"/>
  <c r="H155" i="2"/>
  <c r="H73" i="2"/>
  <c r="J147" i="2"/>
  <c r="J64" i="2" s="1"/>
  <c r="H44" i="2"/>
  <c r="J102" i="2"/>
  <c r="J97" i="2"/>
  <c r="K164" i="2"/>
  <c r="K158" i="2" s="1"/>
  <c r="K176" i="2" s="1"/>
  <c r="J176" i="2"/>
  <c r="H103" i="2"/>
  <c r="C201" i="2"/>
  <c r="E201" i="2" s="1"/>
  <c r="G201" i="2" s="1"/>
  <c r="E38" i="2"/>
  <c r="K97" i="2"/>
  <c r="K151" i="2"/>
  <c r="K129" i="2" s="1"/>
  <c r="H138" i="2"/>
  <c r="I3" i="2"/>
  <c r="I155" i="2" s="1"/>
  <c r="J2" i="2"/>
  <c r="I190" i="2"/>
  <c r="H181" i="2"/>
  <c r="H56" i="2"/>
  <c r="K147" i="2"/>
  <c r="K76" i="2"/>
  <c r="K78" i="2" s="1"/>
  <c r="K100" i="2" s="1"/>
  <c r="K116" i="2" s="1"/>
  <c r="K127" i="2" s="1"/>
  <c r="I44" i="2" l="1"/>
  <c r="J130" i="2"/>
  <c r="I56" i="2"/>
  <c r="I73" i="2"/>
  <c r="I123" i="2"/>
  <c r="J103" i="2"/>
  <c r="I138" i="2"/>
  <c r="I181" i="2"/>
  <c r="I88" i="2"/>
  <c r="J190" i="2"/>
  <c r="K2" i="2"/>
  <c r="J3" i="2"/>
  <c r="J123" i="2" s="1"/>
  <c r="K64" i="2"/>
  <c r="K130" i="2"/>
  <c r="K102" i="2"/>
  <c r="J155" i="2" l="1"/>
  <c r="J181" i="2"/>
  <c r="J138" i="2"/>
  <c r="J88" i="2"/>
  <c r="J73" i="2"/>
  <c r="J44" i="2"/>
  <c r="J56" i="2"/>
  <c r="K190" i="2"/>
  <c r="K8" i="2"/>
  <c r="K3" i="2"/>
  <c r="K88" i="2" s="1"/>
  <c r="K103" i="2"/>
  <c r="C206" i="2" l="1"/>
  <c r="E206" i="2" s="1"/>
  <c r="G206" i="2" s="1"/>
  <c r="K155" i="2"/>
  <c r="K123" i="2"/>
  <c r="K44" i="2"/>
  <c r="K56" i="2"/>
  <c r="K181" i="2"/>
  <c r="G193" i="2"/>
  <c r="G194" i="2" s="1"/>
  <c r="G187" i="2"/>
  <c r="H193" i="2"/>
  <c r="H194" i="2" s="1"/>
  <c r="H187" i="2"/>
  <c r="I187" i="2"/>
  <c r="I193" i="2"/>
  <c r="I194" i="2" s="1"/>
  <c r="J187" i="2"/>
  <c r="J193" i="2"/>
  <c r="J194" i="2" s="1"/>
  <c r="K138" i="2"/>
  <c r="K73" i="2"/>
  <c r="I1" i="2" l="1"/>
  <c r="G105" i="2"/>
  <c r="H105" i="2"/>
  <c r="I105" i="2"/>
  <c r="J105" i="2"/>
  <c r="K105" i="2"/>
  <c r="G106" i="2"/>
  <c r="H106" i="2"/>
  <c r="I106" i="2"/>
  <c r="J106" i="2"/>
  <c r="K106" i="2"/>
  <c r="G108" i="2"/>
  <c r="H108" i="2"/>
  <c r="I108" i="2"/>
  <c r="J108" i="2"/>
  <c r="K108" i="2"/>
  <c r="G109" i="2"/>
  <c r="H109" i="2"/>
  <c r="I109" i="2"/>
  <c r="J109" i="2"/>
  <c r="K109" i="2"/>
  <c r="G110" i="2"/>
  <c r="H110" i="2"/>
  <c r="I110" i="2"/>
  <c r="J110" i="2"/>
  <c r="K110" i="2"/>
  <c r="G112" i="2"/>
  <c r="H112" i="2"/>
  <c r="I112" i="2"/>
  <c r="J112" i="2"/>
  <c r="K112" i="2"/>
  <c r="G113" i="2"/>
  <c r="H113" i="2"/>
  <c r="I113" i="2"/>
  <c r="J113" i="2"/>
  <c r="K113" i="2"/>
  <c r="G118" i="2"/>
  <c r="H118" i="2"/>
  <c r="I118" i="2"/>
  <c r="J118" i="2"/>
  <c r="K118" i="2"/>
  <c r="G119" i="2"/>
  <c r="H119" i="2"/>
  <c r="I119" i="2"/>
  <c r="J119" i="2"/>
  <c r="K119" i="2"/>
  <c r="G124" i="2"/>
  <c r="H124" i="2"/>
  <c r="I124" i="2"/>
  <c r="J124" i="2"/>
  <c r="K124" i="2"/>
  <c r="G131" i="2"/>
  <c r="H131" i="2"/>
  <c r="I131" i="2"/>
  <c r="J131" i="2"/>
  <c r="K131" i="2"/>
  <c r="G132" i="2"/>
  <c r="H132" i="2"/>
  <c r="I132" i="2"/>
  <c r="J132" i="2"/>
  <c r="K132" i="2"/>
  <c r="H133" i="2"/>
  <c r="I133" i="2"/>
  <c r="J133" i="2"/>
  <c r="K133" i="2"/>
  <c r="G134" i="2"/>
  <c r="H134" i="2"/>
  <c r="I134" i="2"/>
  <c r="J134" i="2"/>
  <c r="K134" i="2"/>
  <c r="G135" i="2"/>
  <c r="H135" i="2"/>
  <c r="I135" i="2"/>
  <c r="J135" i="2"/>
  <c r="K135" i="2"/>
  <c r="H140" i="2"/>
  <c r="I140" i="2"/>
  <c r="J140" i="2"/>
  <c r="K140" i="2"/>
  <c r="G141" i="2"/>
  <c r="H141" i="2"/>
  <c r="I141" i="2"/>
  <c r="J141" i="2"/>
  <c r="K141" i="2"/>
  <c r="G142" i="2"/>
  <c r="H142" i="2"/>
  <c r="I142" i="2"/>
  <c r="J142" i="2"/>
  <c r="K142" i="2"/>
  <c r="G156" i="2"/>
  <c r="H156" i="2"/>
  <c r="I156" i="2"/>
  <c r="J156" i="2"/>
  <c r="K156" i="2"/>
  <c r="G157" i="2"/>
  <c r="H157" i="2"/>
  <c r="I157" i="2"/>
  <c r="J157" i="2"/>
  <c r="K157" i="2"/>
  <c r="G159" i="2"/>
  <c r="H159" i="2"/>
  <c r="I159" i="2"/>
  <c r="J159" i="2"/>
  <c r="K159" i="2"/>
  <c r="H162" i="2"/>
  <c r="I162" i="2"/>
  <c r="J162" i="2"/>
  <c r="K162" i="2"/>
  <c r="H163" i="2"/>
  <c r="I163" i="2"/>
  <c r="J163" i="2"/>
  <c r="K163" i="2"/>
  <c r="H165" i="2"/>
  <c r="I165" i="2"/>
  <c r="J165" i="2"/>
  <c r="K165" i="2"/>
  <c r="G166" i="2"/>
  <c r="H166" i="2"/>
  <c r="I166" i="2"/>
  <c r="J166" i="2"/>
  <c r="K166" i="2"/>
  <c r="G167" i="2"/>
  <c r="H167" i="2"/>
  <c r="I167" i="2"/>
  <c r="J167" i="2"/>
  <c r="K167" i="2"/>
  <c r="G168" i="2"/>
  <c r="H168" i="2"/>
  <c r="I168" i="2"/>
  <c r="J168" i="2"/>
  <c r="K168" i="2"/>
  <c r="G169" i="2"/>
  <c r="H169" i="2"/>
  <c r="I169" i="2"/>
  <c r="J169" i="2"/>
  <c r="K169" i="2"/>
  <c r="G171" i="2"/>
  <c r="H171" i="2"/>
  <c r="I171" i="2"/>
  <c r="J171" i="2"/>
  <c r="K171" i="2"/>
  <c r="G174" i="2"/>
  <c r="H174" i="2"/>
  <c r="I174" i="2"/>
  <c r="J174" i="2"/>
  <c r="K174" i="2"/>
  <c r="G175" i="2"/>
  <c r="H175" i="2"/>
  <c r="I175" i="2"/>
  <c r="J175" i="2"/>
  <c r="K175" i="2"/>
  <c r="G177" i="2"/>
  <c r="H177" i="2"/>
  <c r="I177" i="2"/>
  <c r="J177" i="2"/>
  <c r="K177" i="2"/>
  <c r="G182" i="2"/>
  <c r="H182" i="2"/>
  <c r="I182" i="2"/>
  <c r="J182" i="2"/>
  <c r="K182" i="2"/>
  <c r="G184" i="2"/>
  <c r="H184" i="2"/>
  <c r="I184" i="2"/>
  <c r="J184" i="2"/>
  <c r="K184" i="2"/>
  <c r="G185" i="2"/>
  <c r="H185" i="2"/>
  <c r="I185" i="2"/>
  <c r="J185" i="2"/>
  <c r="K185" i="2"/>
  <c r="G186" i="2"/>
  <c r="H186" i="2"/>
  <c r="I186" i="2"/>
  <c r="J186" i="2"/>
  <c r="K186" i="2"/>
  <c r="K187" i="2"/>
  <c r="G188" i="2"/>
  <c r="H188" i="2"/>
  <c r="I188" i="2"/>
  <c r="J188" i="2"/>
  <c r="K188" i="2"/>
  <c r="K193" i="2"/>
  <c r="K194" i="2"/>
  <c r="C196" i="2"/>
  <c r="C197" i="2"/>
  <c r="C202" i="2"/>
  <c r="E202" i="2"/>
  <c r="G202" i="2"/>
  <c r="C203" i="2"/>
  <c r="E203" i="2"/>
  <c r="G203" i="2"/>
  <c r="C204" i="2"/>
  <c r="E204" i="2"/>
  <c r="G204" i="2"/>
  <c r="C205" i="2"/>
  <c r="E205" i="2"/>
  <c r="G205" i="2"/>
  <c r="C207" i="2"/>
  <c r="E207" i="2"/>
  <c r="G207" i="2"/>
  <c r="C208" i="2"/>
  <c r="E208" i="2"/>
  <c r="G208" i="2"/>
  <c r="C209" i="2"/>
  <c r="E209" i="2"/>
  <c r="G209" i="2"/>
  <c r="C210" i="2"/>
  <c r="E210" i="2"/>
  <c r="G210" i="2"/>
  <c r="C211" i="2"/>
  <c r="E211" i="2"/>
  <c r="G211" i="2"/>
  <c r="C212" i="2"/>
  <c r="E212" i="2"/>
  <c r="G212" i="2"/>
  <c r="C213" i="2"/>
  <c r="E213" i="2"/>
  <c r="G213" i="2"/>
  <c r="C214" i="2"/>
  <c r="E214" i="2"/>
  <c r="G214" i="2"/>
  <c r="C216" i="2"/>
  <c r="E216" i="2"/>
  <c r="G216" i="2"/>
  <c r="G217" i="2"/>
  <c r="C225" i="2"/>
  <c r="E225" i="2"/>
  <c r="G225" i="2"/>
  <c r="C226" i="2"/>
  <c r="E226" i="2"/>
  <c r="G226" i="2"/>
</calcChain>
</file>

<file path=xl/sharedStrings.xml><?xml version="1.0" encoding="utf-8"?>
<sst xmlns="http://schemas.openxmlformats.org/spreadsheetml/2006/main" count="256" uniqueCount="236">
  <si>
    <t>START HERE</t>
  </si>
  <si>
    <t>EDITING CONVENTIONS</t>
  </si>
  <si>
    <t>FISCAL-YEAR SETUP</t>
  </si>
  <si>
    <t>CASH-TAX CONVENTION</t>
  </si>
  <si>
    <t>SOFR, OID, AND DEBT PRICING</t>
  </si>
  <si>
    <t>ACRONYM GLOSSARY</t>
  </si>
  <si>
    <t>FINAL CHECKLIST</t>
  </si>
  <si>
    <t>Calculation Integrity</t>
  </si>
  <si>
    <t>Illustrative inputs | see Read Me First</t>
  </si>
  <si>
    <t>Transaction Assumptions</t>
  </si>
  <si>
    <t>Purchase Price</t>
  </si>
  <si>
    <t>Structuring</t>
  </si>
  <si>
    <t>Sponsor Exit</t>
  </si>
  <si>
    <t>Company Name</t>
  </si>
  <si>
    <t>Company A</t>
  </si>
  <si>
    <t>Revolver Capacity</t>
  </si>
  <si>
    <t>Exit Year</t>
  </si>
  <si>
    <t>Ticker Symbol</t>
  </si>
  <si>
    <t>ABC</t>
  </si>
  <si>
    <t>Revolver Unused Fee</t>
  </si>
  <si>
    <t>EBITDA Multiple</t>
  </si>
  <si>
    <t>Current Stock Price</t>
  </si>
  <si>
    <t>SOFR Floor</t>
  </si>
  <si>
    <t>Exit Fees</t>
  </si>
  <si>
    <t>Premium Paid</t>
  </si>
  <si>
    <t>Optional Prepayment (0 - 100%)</t>
  </si>
  <si>
    <t>Last Completed Fiscal Year</t>
  </si>
  <si>
    <t>Switches</t>
  </si>
  <si>
    <t>Diluted Shares Outstanding</t>
  </si>
  <si>
    <t>Other</t>
  </si>
  <si>
    <t>Total Equity Value</t>
  </si>
  <si>
    <t>State Tax Rate</t>
  </si>
  <si>
    <t>Fiscal Year-End Month</t>
  </si>
  <si>
    <t>Plus: Existing Debt</t>
  </si>
  <si>
    <t>Federal Tax Rate</t>
  </si>
  <si>
    <t>Fiscal Year-End Day</t>
  </si>
  <si>
    <t>Plus: Minority Interest</t>
  </si>
  <si>
    <t>Corporate Tax Rate</t>
  </si>
  <si>
    <t>Less: Cash Balance</t>
  </si>
  <si>
    <t>Minimum Cash Balance</t>
  </si>
  <si>
    <t>Total Enterprise Value</t>
  </si>
  <si>
    <t>Financable EBITDA</t>
  </si>
  <si>
    <t>Purchase Multiple (EV / EBITDA)</t>
  </si>
  <si>
    <t>Sources &amp; Uses</t>
  </si>
  <si>
    <t>Sources of Funds</t>
  </si>
  <si>
    <t>Amount ($)</t>
  </si>
  <si>
    <t>x EBITDA</t>
  </si>
  <si>
    <t>Amortization</t>
  </si>
  <si>
    <t>Tenor</t>
  </si>
  <si>
    <t>Rate</t>
  </si>
  <si>
    <t>OID Input (%)</t>
  </si>
  <si>
    <t>OID ($)</t>
  </si>
  <si>
    <t>Fees (%)</t>
  </si>
  <si>
    <t>Fees ($)</t>
  </si>
  <si>
    <t>New First Lien Term Loan</t>
  </si>
  <si>
    <t>New Senior Unsecured Notes</t>
  </si>
  <si>
    <t>Cash from Balance Sheet</t>
  </si>
  <si>
    <t>New Sponsor Equity</t>
  </si>
  <si>
    <t>Total Sources of Funds</t>
  </si>
  <si>
    <t>Uses of Funds</t>
  </si>
  <si>
    <t>Purchase Price of Equity</t>
  </si>
  <si>
    <t>Refinance Existing Debt</t>
  </si>
  <si>
    <t>Cash to Balance Sheet</t>
  </si>
  <si>
    <t>Other One-Time Transaction Costs</t>
  </si>
  <si>
    <t>Estimated Fees &amp; Expenses</t>
  </si>
  <si>
    <t>Check</t>
  </si>
  <si>
    <t>Total Uses of Funds</t>
  </si>
  <si>
    <t>Financial Statement Assumptions</t>
  </si>
  <si>
    <t>Income Statement</t>
  </si>
  <si>
    <t>Revenue 1 - Growth Rate</t>
  </si>
  <si>
    <t>Revenue 2 - Growth Rate</t>
  </si>
  <si>
    <t>Revenue 3 - Growth Rate</t>
  </si>
  <si>
    <t>Total Revenues - Growth Rate</t>
  </si>
  <si>
    <t>Gross Profit Margin</t>
  </si>
  <si>
    <t>SG&amp;A as a % of Sales</t>
  </si>
  <si>
    <t>Balance Sheet</t>
  </si>
  <si>
    <t>Depreciation as a % of Sales</t>
  </si>
  <si>
    <t>Amortization as a % of Sales</t>
  </si>
  <si>
    <t>D&amp;A as a % of Sales</t>
  </si>
  <si>
    <t>Maintenance CapEx as % of Sales</t>
  </si>
  <si>
    <t>Growth CapEx as % of Sales</t>
  </si>
  <si>
    <t>Total CapEx as a % of Sales</t>
  </si>
  <si>
    <t>Net Working Capital (as % of Sales)</t>
  </si>
  <si>
    <t>SOFR Curve</t>
  </si>
  <si>
    <t>Amortization Schedule</t>
  </si>
  <si>
    <t>Amortization of OID</t>
  </si>
  <si>
    <t>Total Amortization of OID</t>
  </si>
  <si>
    <t>Amortization of Financing Fees</t>
  </si>
  <si>
    <t>Total Amortization of Financing Fees</t>
  </si>
  <si>
    <t>Revenue 1</t>
  </si>
  <si>
    <t>Revenue 2</t>
  </si>
  <si>
    <t>Revenue 3</t>
  </si>
  <si>
    <t>Total Revenues</t>
  </si>
  <si>
    <t>% growth</t>
  </si>
  <si>
    <t>Less: Costs of Goods Sold</t>
  </si>
  <si>
    <t>Gross Profit</t>
  </si>
  <si>
    <t>% margin</t>
  </si>
  <si>
    <t>Less: SG&amp;A</t>
  </si>
  <si>
    <t>Less: Amortization of OID</t>
  </si>
  <si>
    <t>Less: Amortization of Financing Fees</t>
  </si>
  <si>
    <t>Operating Income</t>
  </si>
  <si>
    <t>Less: Interest Expense</t>
  </si>
  <si>
    <t>Pre-Tax Income</t>
  </si>
  <si>
    <t>Less: Income Taxes</t>
  </si>
  <si>
    <t>Net Income</t>
  </si>
  <si>
    <t>Plus: Interest Expense</t>
  </si>
  <si>
    <t>Plus: Income Taxes</t>
  </si>
  <si>
    <t>Plus: Depreciation</t>
  </si>
  <si>
    <t>Plus: Amortization</t>
  </si>
  <si>
    <t>Plus: Amortization of OID</t>
  </si>
  <si>
    <t>Plus: Amortization of Financing Fees</t>
  </si>
  <si>
    <t>EBITDA</t>
  </si>
  <si>
    <t>Statement of Cash Flows</t>
  </si>
  <si>
    <t>Free Cash Flow &amp; Allocation</t>
  </si>
  <si>
    <t>Less: Change in Net Working Capital</t>
  </si>
  <si>
    <t>Less: Capital Expenditures</t>
  </si>
  <si>
    <t>Free Cash Flow Before Debt Repayment</t>
  </si>
  <si>
    <t>Cash Balance</t>
  </si>
  <si>
    <t>Beginning Cash Balance</t>
  </si>
  <si>
    <t>Change in Cash Balance (Retained Cash Flow)</t>
  </si>
  <si>
    <t>Ending Cash Balance</t>
  </si>
  <si>
    <t>Capital Expenditures</t>
  </si>
  <si>
    <t>Maintenance Capital Expenditures</t>
  </si>
  <si>
    <t>Growth Capital Expenditures</t>
  </si>
  <si>
    <t>Total Capital Expenditures</t>
  </si>
  <si>
    <t>Working Capital</t>
  </si>
  <si>
    <t>Net Working Capital</t>
  </si>
  <si>
    <t>Change in Net Working Capital</t>
  </si>
  <si>
    <t>Debt Schedule</t>
  </si>
  <si>
    <t>Debt Balance (Year-End)</t>
  </si>
  <si>
    <t>Total Debt</t>
  </si>
  <si>
    <t>Mandatory Debt Repayments</t>
  </si>
  <si>
    <t>Original Amount</t>
  </si>
  <si>
    <t>Total Mandatory Repayments</t>
  </si>
  <si>
    <t>Revolver Draw to Minimum Cash</t>
  </si>
  <si>
    <t>Total Optional Repayments</t>
  </si>
  <si>
    <t>Interest Expense</t>
  </si>
  <si>
    <t>Amount</t>
  </si>
  <si>
    <t>Total Interest Expense</t>
  </si>
  <si>
    <t>Sponsor Returns Analysis</t>
  </si>
  <si>
    <t>Exit Analysis</t>
  </si>
  <si>
    <t>x Multiple (EV / EBITDA)</t>
  </si>
  <si>
    <t>Enterprise Value</t>
  </si>
  <si>
    <t>Less: Ending Debt</t>
  </si>
  <si>
    <t>Plus: Retained Cash on Balance Sheet</t>
  </si>
  <si>
    <t>Less: Estimated Fees &amp; Expenses</t>
  </si>
  <si>
    <t>Equity Value</t>
  </si>
  <si>
    <t>Sponsor Cash Flows (year-end convention)</t>
  </si>
  <si>
    <t>Initial Investment</t>
  </si>
  <si>
    <t>Plus: Interim Sponsor Distributions (default: none)</t>
  </si>
  <si>
    <t>Plus: Exit</t>
  </si>
  <si>
    <t>Total Sponsor Cash Flows</t>
  </si>
  <si>
    <t>Multiple on Invested Capital</t>
  </si>
  <si>
    <t>Internal Rate of Return</t>
  </si>
  <si>
    <t>Model Checks</t>
  </si>
  <si>
    <t>Actual</t>
  </si>
  <si>
    <t>Expected</t>
  </si>
  <si>
    <t>Difference</t>
  </si>
  <si>
    <t>Tolerance</t>
  </si>
  <si>
    <t>Status</t>
  </si>
  <si>
    <t>Notes</t>
  </si>
  <si>
    <t>Sources and Uses</t>
  </si>
  <si>
    <t>Total sources equal total uses within tolerance.</t>
  </si>
  <si>
    <t>Cash Roll</t>
  </si>
  <si>
    <t>Beginning cash plus retained cash flow equals ending cash.</t>
  </si>
  <si>
    <t>Debt Roll</t>
  </si>
  <si>
    <t>Prior year-end debt plus current draws and repayments equals each displayed fiscal year-end debt balance.</t>
  </si>
  <si>
    <t>Sponsor Cash Flows</t>
  </si>
  <si>
    <t>Each sponsor cash-flow period equals investment plus interim distribution plus exit proceeds.</t>
  </si>
  <si>
    <t>Date Alignment</t>
  </si>
  <si>
    <t>Key Formula Outputs</t>
  </si>
  <si>
    <t>Material outputs contain no formula errors.</t>
  </si>
  <si>
    <t>FCF Allocation</t>
  </si>
  <si>
    <t>No Sponsor FCF Double Count</t>
  </si>
  <si>
    <t>Interim sponsor distributions are zero and exit proceeds equal exit equity only.</t>
  </si>
  <si>
    <t>Forecast Cash-Tax Policy</t>
  </si>
  <si>
    <t>Positive income uses G16; loss years receive zero cash-tax benefit under the simplified no-NOL policy.</t>
  </si>
  <si>
    <t>Single Current-Year Sweep Pool</t>
  </si>
  <si>
    <t>Optional prepayment applies G11 once to current-year cash, with revolver priority and no simultaneous draw-and-sweep.</t>
  </si>
  <si>
    <t>Minimum Cash</t>
  </si>
  <si>
    <t>Ending cash remains at or above the operating minimum.</t>
  </si>
  <si>
    <t>Displayed year-end revolver debt does not exceed committed capacity.</t>
  </si>
  <si>
    <t>Nonnegative Year-End Debt</t>
  </si>
  <si>
    <t>All displayed year-end debt balances remain nonnegative.</t>
  </si>
  <si>
    <t>Input and Circularity Bounds</t>
  </si>
  <si>
    <t>Optional prepayment and tax rates remain within 0%-100%; fiscal-year inputs are valid; and the circularity reset is on.</t>
  </si>
  <si>
    <t>Controlled Circularity Residual</t>
  </si>
  <si>
    <t>Restated average-debt interest equations agree within the documented 0.000001 convergence tolerance.</t>
  </si>
  <si>
    <t>Overall Calculation Integrity</t>
  </si>
  <si>
    <t>Aggregates all formula-integrity checks and illustrative tests.</t>
  </si>
  <si>
    <t>Decision Readiness</t>
  </si>
  <si>
    <t>Illustrative Validation Tests</t>
  </si>
  <si>
    <t>Loss-Year Cash Tax</t>
  </si>
  <si>
    <t>Illustrative pretax income of (10) produces zero cash tax and no immediate NOL benefit.</t>
  </si>
  <si>
    <t>Positive-Income Cash Tax</t>
  </si>
  <si>
    <t>Illustrative pretax income of 10 produces cash tax at the current combined G16 rate.</t>
  </si>
  <si>
    <t>Single-Pool 50% Sweep</t>
  </si>
  <si>
    <t>A 50% sweep of 40 applies once: 20 total, with revolver priority before first-lien debt.</t>
  </si>
  <si>
    <t>Near-Payoff Mandatory Amortization</t>
  </si>
  <si>
    <t>Beginning debt of 5 with 4.8 mandatory amortization ends at 0.2, without self-reference.</t>
  </si>
  <si>
    <t>Cash-Deficit Revolver Draw</t>
  </si>
  <si>
    <t>A 25 cash deficit from minimum cash draws 25 of available revolver capacity and does not create an optional sweep.</t>
  </si>
  <si>
    <t>Return FCF Double-Count</t>
  </si>
  <si>
    <t>Interim distributions are zero and sponsor exit proceeds equal exit equity only, so FCF reaches sponsors once.</t>
  </si>
  <si>
    <t>Return Periods and Sign Pattern</t>
  </si>
  <si>
    <t>Sponsor periods progress annually; entry is negative, and exactly one forecast exit cash flow is positive.</t>
  </si>
  <si>
    <t>Forward 3-Month SOFR Curve (as of August 13, 2026)</t>
  </si>
  <si>
    <t>Plus: Revolver Draw to Minimum Cash</t>
  </si>
  <si>
    <t>Less: Mandatory Debt Repayments</t>
  </si>
  <si>
    <t>Less: Optional Debt Repayments</t>
  </si>
  <si>
    <t>Retained Cash Flow (Change in Cash)</t>
  </si>
  <si>
    <t>Balance Sheet Schedules</t>
  </si>
  <si>
    <t>Cash Available for Optional Debt Repayment</t>
  </si>
  <si>
    <t>No Optional Prepayment on Notes</t>
  </si>
  <si>
    <t>Balance Sheet Schedule Check</t>
  </si>
  <si>
    <t>Checks cash, capital expenditures, net working capital, and debt schedules.</t>
  </si>
  <si>
    <t>K11 drives three visible Actual years and five Expected years; K14/K15 set the company fiscal year-end for sponsor dates; the exit year aligns.</t>
  </si>
  <si>
    <t>Pre-debt FCF plus revolver draw, mandatory debt repayment, and optional debt repayment equals retained cash flow.</t>
  </si>
  <si>
    <t>Offer Price per Share</t>
  </si>
  <si>
    <t>Template reminder: replace illustrative company inputs with company-specific information and source support. Confirm supported deal assumptions and the final memo. This reminder does not automatically assess completion; Calculation Integrity tests model mechanics separately.</t>
  </si>
  <si>
    <t>UConn LBO Case Competition | Fall 2026 LBO Model</t>
  </si>
  <si>
    <t>Read Me First | Fall 2026 LBO Model</t>
  </si>
  <si>
    <t>Student instructions, editable inputs, and model checks</t>
  </si>
  <si>
    <r>
      <rPr>
        <sz val="10"/>
        <color rgb="FF000000"/>
        <rFont val="Arial"/>
        <family val="2"/>
      </rPr>
      <t xml:space="preserve">A </t>
    </r>
    <r>
      <rPr>
        <b/>
        <sz val="10"/>
        <color rgb="FF000000"/>
        <rFont val="Arial"/>
        <family val="2"/>
      </rPr>
      <t>leveraged buyout (LBO)</t>
    </r>
    <r>
      <rPr>
        <sz val="10"/>
        <color rgb="FF000000"/>
        <rFont val="Arial"/>
        <family val="2"/>
      </rPr>
      <t xml:space="preserve"> is the purchase of a company using borrowed money and investor equity. This workbook is a starting template, not a completed company analysis.
</t>
    </r>
    <r>
      <rPr>
        <b/>
        <sz val="10"/>
        <color rgb="FF000000"/>
        <rFont val="Arial"/>
        <family val="2"/>
      </rPr>
      <t>Replace the sample company data</t>
    </r>
    <r>
      <rPr>
        <sz val="10"/>
        <color rgb="FF000000"/>
        <rFont val="Arial"/>
        <family val="2"/>
      </rPr>
      <t xml:space="preserve"> with verified history and supported forecasts. Do not invent missing information. Dollar amounts and share counts are in millions, except per-share prices. The calculations and input cells are on the LBO Model tab.</t>
    </r>
  </si>
  <si>
    <r>
      <rPr>
        <b/>
        <sz val="10"/>
        <color rgb="FF0000FF"/>
        <rFont val="Arial"/>
        <family val="2"/>
      </rPr>
      <t>Blue text + yellow fill = an editable input.</t>
    </r>
    <r>
      <rPr>
        <sz val="10"/>
        <color rgb="FF000000"/>
        <rFont val="Arial"/>
        <family val="2"/>
      </rPr>
      <t xml:space="preserve"> Support your company and deal assumptions with evidence.
</t>
    </r>
    <r>
      <rPr>
        <b/>
        <sz val="10"/>
        <color rgb="FF000000"/>
        <rFont val="Arial"/>
        <family val="2"/>
      </rPr>
      <t>Black calculation cells = formulas.</t>
    </r>
    <r>
      <rPr>
        <sz val="10"/>
        <color rgb="FF000000"/>
        <rFont val="Arial"/>
        <family val="2"/>
      </rPr>
      <t xml:space="preserve"> Do not type over them. The </t>
    </r>
    <r>
      <rPr>
        <b/>
        <sz val="10"/>
        <color rgb="FF000000"/>
        <rFont val="Arial"/>
        <family val="2"/>
      </rPr>
      <t>gray SOFR cells are fixed assumptions</t>
    </r>
    <r>
      <rPr>
        <sz val="10"/>
        <color rgb="FF000000"/>
        <rFont val="Arial"/>
        <family val="2"/>
      </rPr>
      <t>, not student inputs. A dash in a number cell can mean zero; check the formula bar.
A passing calculation check does not verify your sources or investment recommendation.</t>
    </r>
  </si>
  <si>
    <r>
      <rPr>
        <b/>
        <sz val="10"/>
        <color rgb="FF000000"/>
        <rFont val="Arial"/>
        <family val="2"/>
      </rPr>
      <t>Cash taxes</t>
    </r>
    <r>
      <rPr>
        <sz val="10"/>
        <color rgb="FF000000"/>
        <rFont val="Arial"/>
        <family val="2"/>
      </rPr>
      <t xml:space="preserve"> are the taxes paid in the forecast. When pretax income is positive, the model applies the combined tax rate in </t>
    </r>
    <r>
      <rPr>
        <b/>
        <sz val="10"/>
        <color rgb="FF000000"/>
        <rFont val="Arial"/>
        <family val="2"/>
      </rPr>
      <t>G16</t>
    </r>
    <r>
      <rPr>
        <sz val="10"/>
        <color rgb="FF000000"/>
        <rFont val="Arial"/>
        <family val="2"/>
      </rPr>
      <t xml:space="preserve">, which adds the state and federal rates in G14/G15.
</t>
    </r>
    <r>
      <rPr>
        <b/>
        <sz val="10"/>
        <color rgb="FF000000"/>
        <rFont val="Arial"/>
        <family val="2"/>
      </rPr>
      <t>A loss year produces zero cash tax</t>
    </r>
    <r>
      <rPr>
        <sz val="10"/>
        <color rgb="FF000000"/>
        <rFont val="Arial"/>
        <family val="2"/>
      </rPr>
      <t>, not an assumed cash refund. The model does not track losses that might reduce taxes in later years, called net operating losses (NOLs).
Taxes affect the cash available for debt repayment and, ultimately, the investors' return. Use this simplified treatment consistently.</t>
    </r>
  </si>
  <si>
    <t>CASH, DEBT REPAYMENT, AND CALCULATION</t>
  </si>
  <si>
    <r>
      <rPr>
        <b/>
        <sz val="10"/>
        <color rgb="FF000000"/>
        <rFont val="Arial"/>
        <family val="2"/>
      </rPr>
      <t>Debt balances:</t>
    </r>
    <r>
      <rPr>
        <sz val="10"/>
        <color rgb="FF000000"/>
        <rFont val="Arial"/>
        <family val="2"/>
      </rPr>
      <t xml:space="preserve"> column F shows debt at closing; G:K shows each forecast year-end. Interest uses the average of beginning and ending debt.
</t>
    </r>
    <r>
      <rPr>
        <b/>
        <sz val="10"/>
        <color rgb="FF000000"/>
        <rFont val="Arial"/>
        <family val="2"/>
      </rPr>
      <t>Optional repayment:</t>
    </r>
    <r>
      <rPr>
        <sz val="10"/>
        <color rgb="FF000000"/>
        <rFont val="Arial"/>
        <family val="2"/>
      </rPr>
      <t xml:space="preserve"> G11 sets the share of current-year excess cash used to repay debt early. It defaults to 0%. The model applies it once, paying the revolver first, then the first-lien loan. Notes receive no optional repayment.
A </t>
    </r>
    <r>
      <rPr>
        <b/>
        <sz val="10"/>
        <color rgb="FF000000"/>
        <rFont val="Arial"/>
        <family val="2"/>
      </rPr>
      <t>revolver</t>
    </r>
    <r>
      <rPr>
        <sz val="10"/>
        <color rgb="FF000000"/>
        <rFont val="Arial"/>
        <family val="2"/>
      </rPr>
      <t xml:space="preserve"> is a credit line. New borrowing can cover a cash shortfall only up to the unused credit limit. Borrowed cash is not swept into optional repayment. </t>
    </r>
    <r>
      <rPr>
        <b/>
        <sz val="10"/>
        <color rgb="FF000000"/>
        <rFont val="Arial"/>
        <family val="2"/>
      </rPr>
      <t>Retained cash flow (row 135)</t>
    </r>
    <r>
      <rPr>
        <sz val="10"/>
        <color rgb="FF000000"/>
        <rFont val="Arial"/>
        <family val="2"/>
      </rPr>
      <t xml:space="preserve"> stays in company cash; it is not paid to investors during the holding period. At exit, remaining debt is deducted and retained cash is added when calculating the investors' proceeds.
Interest and debt depend on each other, so Excel must use iterative calculation. Leave </t>
    </r>
    <r>
      <rPr>
        <b/>
        <sz val="10"/>
        <color rgb="FF000000"/>
        <rFont val="Arial"/>
        <family val="2"/>
      </rPr>
      <t>K13 at 1</t>
    </r>
    <r>
      <rPr>
        <sz val="10"/>
        <color rgb="FF000000"/>
        <rFont val="Arial"/>
        <family val="2"/>
      </rPr>
      <t xml:space="preserve"> for normal use; see the calculation instructions below.</t>
    </r>
  </si>
  <si>
    <r>
      <rPr>
        <b/>
        <sz val="10"/>
        <color rgb="FF000000"/>
        <rFont val="Arial"/>
        <family val="2"/>
      </rPr>
      <t>First-lien loan:</t>
    </r>
    <r>
      <rPr>
        <sz val="10"/>
        <color rgb="FF000000"/>
        <rFont val="Arial"/>
        <family val="2"/>
      </rPr>
      <t xml:space="preserve"> the sample uses a seven-year term, SOFR + 3.75%, 1% OID, and annual principal repayments of 1% of the original loan. </t>
    </r>
    <r>
      <rPr>
        <b/>
        <sz val="10"/>
        <color rgb="FF000000"/>
        <rFont val="Arial"/>
        <family val="2"/>
      </rPr>
      <t>S + 375</t>
    </r>
    <r>
      <rPr>
        <sz val="10"/>
        <color rgb="FF000000"/>
        <rFont val="Arial"/>
        <family val="2"/>
      </rPr>
      <t xml:space="preserve"> means SOFR plus 375 basis points; 100 basis points equals 1 percentage point. G10 sets the SOFR floor, initially 0%.
</t>
    </r>
    <r>
      <rPr>
        <b/>
        <sz val="10"/>
        <color rgb="FF000000"/>
        <rFont val="Arial"/>
        <family val="2"/>
      </rPr>
      <t>OID</t>
    </r>
    <r>
      <rPr>
        <sz val="10"/>
        <color rgb="FF000000"/>
        <rFont val="Arial"/>
        <family val="2"/>
      </rPr>
      <t xml:space="preserve"> is an issue discount: 1% means receiving $99 for every $100 borrowed. It is not a principal repayment. The model spreads OID and upfront fees over the debt term. </t>
    </r>
    <r>
      <rPr>
        <b/>
        <sz val="10"/>
        <color rgb="FF000000"/>
        <rFont val="Arial"/>
        <family val="2"/>
      </rPr>
      <t>Tenor</t>
    </r>
    <r>
      <rPr>
        <sz val="10"/>
        <color rgb="FF000000"/>
        <rFont val="Arial"/>
        <family val="2"/>
      </rPr>
      <t xml:space="preserve"> means years to maturity; the model does not automatically repay the full loan when that term ends.
</t>
    </r>
    <r>
      <rPr>
        <b/>
        <sz val="10"/>
        <color rgb="FF000000"/>
        <rFont val="Arial"/>
        <family val="2"/>
      </rPr>
      <t>Fees:</t>
    </r>
    <r>
      <rPr>
        <sz val="10"/>
        <color rgb="FF000000"/>
        <rFont val="Arial"/>
        <family val="2"/>
      </rPr>
      <t xml:space="preserve"> G9 is the annual fee on unused revolver capacity. J25:J27 are separate one-time fees at closing.
</t>
    </r>
    <r>
      <rPr>
        <b/>
        <sz val="10"/>
        <color rgb="FF000000"/>
        <rFont val="Arial"/>
        <family val="2"/>
      </rPr>
      <t>Senior Unsecured Notes</t>
    </r>
    <r>
      <rPr>
        <sz val="10"/>
        <color rgb="FF000000"/>
        <rFont val="Arial"/>
        <family val="2"/>
      </rPr>
      <t xml:space="preserve"> are optional debt, not required financing. The sample is $355 million for eight years at 7.5% fixed interest, with zero OID and no required annual or optional repayment. Support material changes to financing inputs with dated evidence.</t>
    </r>
  </si>
  <si>
    <t>FIXED SOFR CURVE AND REQUIRED MODEL CHECKS</t>
  </si>
  <si>
    <r>
      <rPr>
        <b/>
        <sz val="10"/>
        <color rgb="FF000000"/>
        <rFont val="Arial"/>
        <family val="2"/>
      </rPr>
      <t>LBO:</t>
    </r>
    <r>
      <rPr>
        <sz val="10"/>
        <color rgb="FF000000"/>
        <rFont val="Arial"/>
        <family val="2"/>
      </rPr>
      <t xml:space="preserve"> Leveraged buyout, a purchase financed with debt and investor equity.
</t>
    </r>
    <r>
      <rPr>
        <b/>
        <sz val="10"/>
        <color rgb="FF000000"/>
        <rFont val="Arial"/>
        <family val="2"/>
      </rPr>
      <t>EV:</t>
    </r>
    <r>
      <rPr>
        <sz val="10"/>
        <color rgb="FF000000"/>
        <rFont val="Arial"/>
        <family val="2"/>
      </rPr>
      <t xml:space="preserve"> Enterprise value, the value of the business before allocating value to debt and equity.
</t>
    </r>
    <r>
      <rPr>
        <b/>
        <sz val="10"/>
        <color rgb="FF000000"/>
        <rFont val="Arial"/>
        <family val="2"/>
      </rPr>
      <t>EBITDA:</t>
    </r>
    <r>
      <rPr>
        <sz val="10"/>
        <color rgb="FF000000"/>
        <rFont val="Arial"/>
        <family val="2"/>
      </rPr>
      <t xml:space="preserve"> Earnings before interest, taxes, depreciation and amortization.
</t>
    </r>
    <r>
      <rPr>
        <b/>
        <sz val="10"/>
        <color rgb="FF000000"/>
        <rFont val="Arial"/>
        <family val="2"/>
      </rPr>
      <t>FCF:</t>
    </r>
    <r>
      <rPr>
        <sz val="10"/>
        <color rgb="FF000000"/>
        <rFont val="Arial"/>
        <family val="2"/>
      </rPr>
      <t xml:space="preserve"> Free cash flow. Follow the row label to distinguish cash before and after debt repayments.
</t>
    </r>
    <r>
      <rPr>
        <b/>
        <sz val="10"/>
        <color rgb="FF000000"/>
        <rFont val="Arial"/>
        <family val="2"/>
      </rPr>
      <t>D&amp;A:</t>
    </r>
    <r>
      <rPr>
        <sz val="10"/>
        <color rgb="FF000000"/>
        <rFont val="Arial"/>
        <family val="2"/>
      </rPr>
      <t xml:space="preserve"> Depreciation and amortization, expenses that allocate asset costs over time.
</t>
    </r>
    <r>
      <rPr>
        <b/>
        <sz val="10"/>
        <color rgb="FF000000"/>
        <rFont val="Arial"/>
        <family val="2"/>
      </rPr>
      <t>SG&amp;A:</t>
    </r>
    <r>
      <rPr>
        <sz val="10"/>
        <color rgb="FF000000"/>
        <rFont val="Arial"/>
        <family val="2"/>
      </rPr>
      <t xml:space="preserve"> Selling, general and administrative expenses, such as sales and office costs.
</t>
    </r>
    <r>
      <rPr>
        <b/>
        <sz val="10"/>
        <color rgb="FF000000"/>
        <rFont val="Arial"/>
        <family val="2"/>
      </rPr>
      <t>CapEx:</t>
    </r>
    <r>
      <rPr>
        <sz val="10"/>
        <color rgb="FF000000"/>
        <rFont val="Arial"/>
        <family val="2"/>
      </rPr>
      <t xml:space="preserve"> Capital expenditures, spending on long-lived assets such as equipment.
</t>
    </r>
    <r>
      <rPr>
        <b/>
        <sz val="10"/>
        <color rgb="FF000000"/>
        <rFont val="Arial"/>
        <family val="2"/>
      </rPr>
      <t>OID:</t>
    </r>
    <r>
      <rPr>
        <sz val="10"/>
        <color rgb="FF000000"/>
        <rFont val="Arial"/>
        <family val="2"/>
      </rPr>
      <t xml:space="preserve"> Original issue discount, the difference between debt face value and its issue proceeds.
</t>
    </r>
    <r>
      <rPr>
        <b/>
        <sz val="10"/>
        <color rgb="FF000000"/>
        <rFont val="Arial"/>
        <family val="2"/>
      </rPr>
      <t>NOL:</t>
    </r>
    <r>
      <rPr>
        <sz val="10"/>
        <color rgb="FF000000"/>
        <rFont val="Arial"/>
        <family val="2"/>
      </rPr>
      <t xml:space="preserve"> Net operating loss, a tax loss that may reduce taxable income in a later year.
</t>
    </r>
    <r>
      <rPr>
        <b/>
        <sz val="10"/>
        <color rgb="FF000000"/>
        <rFont val="Arial"/>
        <family val="2"/>
      </rPr>
      <t>SOFR / S:</t>
    </r>
    <r>
      <rPr>
        <sz val="10"/>
        <color rgb="FF000000"/>
        <rFont val="Arial"/>
        <family val="2"/>
      </rPr>
      <t xml:space="preserve"> Secured Overnight Financing Rate. S denotes SOFR in the loan-pricing cells.
</t>
    </r>
    <r>
      <rPr>
        <b/>
        <sz val="10"/>
        <color rgb="FF000000"/>
        <rFont val="Arial"/>
        <family val="2"/>
      </rPr>
      <t>A / E:</t>
    </r>
    <r>
      <rPr>
        <sz val="10"/>
        <color rgb="FF000000"/>
        <rFont val="Arial"/>
        <family val="2"/>
      </rPr>
      <t xml:space="preserve"> Actual historical results / Expected forecast results.
</t>
    </r>
    <r>
      <rPr>
        <b/>
        <sz val="10"/>
        <color rgb="FF000000"/>
        <rFont val="Arial"/>
        <family val="2"/>
      </rPr>
      <t>x:</t>
    </r>
    <r>
      <rPr>
        <sz val="10"/>
        <color rgb="FF000000"/>
        <rFont val="Arial"/>
        <family val="2"/>
      </rPr>
      <t xml:space="preserve"> Times, used for valuation and investment-return multiples.
</t>
    </r>
    <r>
      <rPr>
        <b/>
        <sz val="10"/>
        <color rgb="FF000000"/>
        <rFont val="Arial"/>
        <family val="2"/>
      </rPr>
      <t>N/A:</t>
    </r>
    <r>
      <rPr>
        <sz val="10"/>
        <color rgb="FF000000"/>
        <rFont val="Arial"/>
        <family val="2"/>
      </rPr>
      <t xml:space="preserve"> Not available; the model cannot calculate a meaningful return from the inputs.</t>
    </r>
  </si>
  <si>
    <r>
      <rPr>
        <b/>
        <sz val="10"/>
        <color rgb="FF000000"/>
        <rFont val="Arial"/>
        <family val="2"/>
      </rPr>
      <t>Start with the company's latest completed fiscal year</t>
    </r>
    <r>
      <rPr>
        <sz val="10"/>
        <color rgb="FF000000"/>
        <rFont val="Arial"/>
        <family val="2"/>
      </rPr>
      <t xml:space="preserve">, meaning the year covered by its most recent full-year results. Enter that year in </t>
    </r>
    <r>
      <rPr>
        <b/>
        <sz val="10"/>
        <color rgb="FF000000"/>
        <rFont val="Arial"/>
        <family val="2"/>
      </rPr>
      <t>K11</t>
    </r>
    <r>
      <rPr>
        <sz val="10"/>
        <color rgb="FF000000"/>
        <rFont val="Arial"/>
        <family val="2"/>
      </rPr>
      <t xml:space="preserve">, then its year-end month and day in </t>
    </r>
    <r>
      <rPr>
        <b/>
        <sz val="10"/>
        <color rgb="FF000000"/>
        <rFont val="Arial"/>
        <family val="2"/>
      </rPr>
      <t>K14/K15</t>
    </r>
    <r>
      <rPr>
        <sz val="10"/>
        <color rgb="FF000000"/>
        <rFont val="Arial"/>
        <family val="2"/>
      </rPr>
      <t>. Cell references in this guide are on LBO Model.
The model shows three historical years (</t>
    </r>
    <r>
      <rPr>
        <b/>
        <sz val="10"/>
        <color rgb="FF000000"/>
        <rFont val="Arial"/>
        <family val="2"/>
      </rPr>
      <t>A = Actual</t>
    </r>
    <r>
      <rPr>
        <sz val="10"/>
        <color rgb="FF000000"/>
        <rFont val="Arial"/>
        <family val="2"/>
      </rPr>
      <t>) and five forecast years (</t>
    </r>
    <r>
      <rPr>
        <b/>
        <sz val="10"/>
        <color rgb="FF000000"/>
        <rFont val="Arial"/>
        <family val="2"/>
      </rPr>
      <t>E = Expected</t>
    </r>
    <r>
      <rPr>
        <sz val="10"/>
        <color rgb="FF000000"/>
        <rFont val="Arial"/>
        <family val="2"/>
      </rPr>
      <t xml:space="preserve">). The sample dates are examples, not a requirement to treat 2026 as reported.
The provided three-month SOFR curve is </t>
    </r>
    <r>
      <rPr>
        <b/>
        <sz val="10"/>
        <color rgb="FF000000"/>
        <rFont val="Arial"/>
        <family val="2"/>
      </rPr>
      <t>fixed</t>
    </r>
    <r>
      <rPr>
        <sz val="10"/>
        <color rgb="FF000000"/>
        <rFont val="Arial"/>
        <family val="2"/>
      </rPr>
      <t>. Keep these rates in their existing forecast columns, even if you adjust the fiscal-year dates.</t>
    </r>
  </si>
  <si>
    <r>
      <rPr>
        <b/>
        <sz val="10"/>
        <color rgb="FF000000"/>
        <rFont val="Arial"/>
        <family val="2"/>
      </rPr>
      <t>The supplied SOFR curve.</t>
    </r>
    <r>
      <rPr>
        <sz val="10"/>
        <color rgb="FF000000"/>
        <rFont val="Arial"/>
        <family val="2"/>
      </rPr>
      <t xml:space="preserve"> SOFR is an interest-rate benchmark used to price the floating-rate loans. The six gray cells in F69:K69 provide the model's three-month SOFR assumptions as of August 13, 2026. They are fixed for the competition, not inputs for students to research or update. For each forecast year, the model averages the adjacent year-end rates, applies the SOFR floor, and adds the loan's spread. Keep these rates in their existing forecast columns, even if you adjust the fiscal-year dates.
</t>
    </r>
    <r>
      <rPr>
        <b/>
        <sz val="10"/>
        <color rgb="FF000000"/>
        <rFont val="Arial"/>
        <family val="2"/>
      </rPr>
      <t>Calculation settings.</t>
    </r>
    <r>
      <rPr>
        <sz val="10"/>
        <color rgb="FF000000"/>
        <rFont val="Arial"/>
        <family val="2"/>
      </rPr>
      <t xml:space="preserve"> Use Automatic calculation, with iterative calculation enabled: 1,000 maximum iterations and 0.000001 maximum change. If a formula fails, set K13 to 0, correct the cause, then restore K13 to 1 and recalculate. K13 does not turn on Excel's calculation settings.
</t>
    </r>
    <r>
      <rPr>
        <b/>
        <sz val="10"/>
        <color rgb="FF000000"/>
        <rFont val="Arial"/>
        <family val="2"/>
      </rPr>
      <t>Required results.</t>
    </r>
    <r>
      <rPr>
        <sz val="10"/>
        <color rgb="FF000000"/>
        <rFont val="Arial"/>
        <family val="2"/>
      </rPr>
      <t xml:space="preserve"> The Sources and Uses check (E38) must show YES; G201:G216 and G220:G226 must show OK; Calculation Integrity (G217) must show PASS. Review cash, debt, minimum cash, revolver capacity, repayments, OID, interest, taxes, returns and dates. The lower illustrative checks do not replace testing your own assumptions.
</t>
    </r>
    <r>
      <rPr>
        <b/>
        <sz val="10"/>
        <color rgb="FF000000"/>
        <rFont val="Arial"/>
        <family val="2"/>
      </rPr>
      <t>Decision Readiness (G218) stays at NEEDS INPUT.</t>
    </r>
    <r>
      <rPr>
        <sz val="10"/>
        <color rgb="FF000000"/>
        <rFont val="Arial"/>
        <family val="2"/>
      </rPr>
      <t xml:space="preserve"> It is a reminder to review your company data, evidence and final memo, not a test that turns to PASS when you finish. You must complete that review yourself.</t>
    </r>
  </si>
  <si>
    <r>
      <rPr>
        <b/>
        <sz val="10"/>
        <color rgb="FF000000"/>
        <rFont val="Arial"/>
        <family val="2"/>
      </rPr>
      <t>1. Company data:</t>
    </r>
    <r>
      <rPr>
        <sz val="10"/>
        <color rgb="FF000000"/>
        <rFont val="Arial"/>
        <family val="2"/>
      </rPr>
      <t xml:space="preserve"> Replace sample inputs with verified history and supported forecasts. Use credible, dated evidence and explain material deal-assumption changes.
</t>
    </r>
    <r>
      <rPr>
        <b/>
        <sz val="10"/>
        <color rgb="FF000000"/>
        <rFont val="Arial"/>
        <family val="2"/>
      </rPr>
      <t>2. Dates and financing:</t>
    </r>
    <r>
      <rPr>
        <sz val="10"/>
        <color rgb="FF000000"/>
        <rFont val="Arial"/>
        <family val="2"/>
      </rPr>
      <t xml:space="preserve"> Check K11 and K14/K15. Keep the fixed SOFR rates in their existing forecast columns. Review debt amounts, spreads, fees, OID, principal repayments and the applicable competition requirements.
</t>
    </r>
    <r>
      <rPr>
        <b/>
        <sz val="10"/>
        <color rgb="FF000000"/>
        <rFont val="Arial"/>
        <family val="2"/>
      </rPr>
      <t>3. Model checks:</t>
    </r>
    <r>
      <rPr>
        <sz val="10"/>
        <color rgb="FF000000"/>
        <rFont val="Arial"/>
        <family val="2"/>
      </rPr>
      <t xml:space="preserve"> Obtain YES, OK and PASS in the locations listed above. Separately complete the company-data and source review; the NEEDS INPUT reminder will remain.
</t>
    </r>
    <r>
      <rPr>
        <b/>
        <sz val="10"/>
        <color rgb="FF000000"/>
        <rFont val="Arial"/>
        <family val="2"/>
      </rPr>
      <t>4. Final memo:</t>
    </r>
    <r>
      <rPr>
        <sz val="10"/>
        <color rgb="FF000000"/>
        <rFont val="Arial"/>
        <family val="2"/>
      </rPr>
      <t xml:space="preserve"> Make purchase price, financing, free cash flow, ending debt and cash, multiple on invested capital, and internal rate of return agree with the final model.</t>
    </r>
  </si>
  <si>
    <t>TECHNOLOGY AND VALUE CREATION (OPTIONAL)</t>
  </si>
  <si>
    <t>New this year, an optional technology component invites you to consider how your target company could become more valuable after an acquisition. You might explore how technology could improve its products or services, create revenue opportunities, increase productivity, or strengthen margins. Make sure to connect the idea to the company's business and credible evidence.
If you include this component, describe how the company currently uses technology, the opportunity you see, and the realistic benefits, costs and timing of your proposal. Limited public disclosure does not necessarily mean the company has a technology gap.
You may discuss your idea qualitatively without changing the model. If you can support estimates of benefits and costs, include them in the relevant forecast assumptions without counting anything already included a second time. The optional fourth flash memo slide provides space for your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</si>
</sst>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_);\(###0\);&quot;--&quot;_)"/>
    <numFmt numFmtId="165" formatCode="0.0%_);\(0.0%\);&quot;--&quot;_)"/>
    <numFmt numFmtId="166" formatCode="#,##0.0_);\(#,##0.0\);&quot;--&quot;_)"/>
    <numFmt numFmtId="167" formatCode="#,##0_);\(#,##0\);&quot;--&quot;_)"/>
    <numFmt numFmtId="168" formatCode="0.000%_);\(0.000%\);&quot;--&quot;_)"/>
    <numFmt numFmtId="169" formatCode="&quot;S + &quot;###"/>
    <numFmt numFmtId="170" formatCode="0.000%"/>
    <numFmt numFmtId="171" formatCode="\$#,##0.0;[Red]&quot;($&quot;#,##0.0\);\-"/>
    <numFmt numFmtId="172" formatCode="0.000000;[Red]\(0.000000\);\-"/>
    <numFmt numFmtId="173" formatCode="&quot;$&quot;#,##0.0_);\(&quot;$&quot;#,##0.0\);&quot;$--&quot;_)"/>
    <numFmt numFmtId="174" formatCode="0.0\x_);\(0.0\x\);&quot;--&quot;_)"/>
    <numFmt numFmtId="175" formatCode="&quot;$&quot;#,##0.00_);\(&quot;$&quot;#,##0.00\);&quot;$--&quot;_)"/>
    <numFmt numFmtId="176" formatCode="###\ &quot;years&quot;"/>
    <numFmt numFmtId="177" formatCode="&quot;$&quot;#,##0.0_);\(&quot;$&quot;#,##0.0\)"/>
    <numFmt numFmtId="178" formatCode="&quot;$&quot;#,##0_);\(&quot;$&quot;#,##0\);&quot;$--&quot;_)"/>
    <numFmt numFmtId="179" formatCode="&quot;Year&quot;\ ###"/>
    <numFmt numFmtId="180" formatCode="0.00\x_);\(0.00\x\);&quot;--&quot;_)"/>
  </numFmts>
  <fonts count="33" x14ac:knownFonts="1">
    <font>
      <sz val="10"/>
      <name val="Arial"/>
      <family val="2"/>
      <charset val="1"/>
    </font>
    <font>
      <sz val="10"/>
      <name val="Arial"/>
      <family val="2"/>
    </font>
    <font>
      <sz val="10"/>
      <color theme="1"/>
      <name val="Calibri"/>
      <family val="2"/>
    </font>
    <font>
      <b/>
      <sz val="16"/>
      <color rgb="FFFFFFFF"/>
      <name val="Arial"/>
      <family val="2"/>
    </font>
    <font>
      <i/>
      <sz val="10"/>
      <color rgb="FF000000"/>
      <name val="Arial"/>
      <family val="2"/>
    </font>
    <font>
      <sz val="11"/>
      <color theme="1"/>
      <name val="Arial"/>
      <family val="2"/>
    </font>
    <font>
      <b/>
      <sz val="10"/>
      <color rgb="FFFFFFFF"/>
      <name val="Arial"/>
      <family val="2"/>
    </font>
    <font>
      <sz val="10"/>
      <color rgb="FF000000"/>
      <name val="Arial"/>
      <family val="2"/>
    </font>
    <font>
      <b/>
      <sz val="10"/>
      <color rgb="FF000000"/>
      <name val="Arial"/>
      <family val="2"/>
      <charset val="1"/>
    </font>
    <font>
      <sz val="10"/>
      <color rgb="FF000000"/>
      <name val="Arial"/>
      <family val="2"/>
      <charset val="1"/>
    </font>
    <font>
      <b/>
      <sz val="10"/>
      <color rgb="FF000000"/>
      <name val="Calibri"/>
      <family val="2"/>
    </font>
    <font>
      <b/>
      <sz val="10"/>
      <color rgb="FFFFFFFF"/>
      <name val="Calibri"/>
      <family val="2"/>
    </font>
    <font>
      <i/>
      <sz val="10"/>
      <color rgb="FF000000"/>
      <name val="Calibri"/>
      <family val="2"/>
    </font>
    <font>
      <sz val="10"/>
      <color rgb="FF0000FF"/>
      <name val="Calibri"/>
      <family val="2"/>
    </font>
    <font>
      <sz val="10"/>
      <color rgb="FF000000"/>
      <name val="Calibri"/>
      <family val="2"/>
    </font>
    <font>
      <b/>
      <sz val="10"/>
      <name val="Arial"/>
      <family val="2"/>
    </font>
    <font>
      <i/>
      <sz val="10"/>
      <color rgb="FF666666"/>
      <name val="Calibri"/>
      <family val="2"/>
    </font>
    <font>
      <b/>
      <sz val="10"/>
      <color theme="1"/>
      <name val="Calibri"/>
      <family val="2"/>
      <scheme val="minor"/>
    </font>
    <font>
      <i/>
      <sz val="10"/>
      <color theme="1"/>
      <name val="Calibri"/>
      <family val="2"/>
      <scheme val="minor"/>
    </font>
    <font>
      <b/>
      <u val="singleAccounting"/>
      <sz val="10"/>
      <color theme="0"/>
      <name val="Calibri"/>
      <family val="2"/>
      <scheme val="minor"/>
    </font>
    <font>
      <b/>
      <i/>
      <u val="singleAccounting"/>
      <sz val="10"/>
      <color theme="1"/>
      <name val="Calibri"/>
      <family val="2"/>
      <scheme val="minor"/>
    </font>
    <font>
      <b/>
      <u val="singleAccounting"/>
      <sz val="10"/>
      <color theme="1"/>
      <name val="Calibri"/>
      <family val="2"/>
      <scheme val="minor"/>
    </font>
    <font>
      <sz val="10"/>
      <color theme="1"/>
      <name val="Calibri"/>
      <family val="2"/>
      <scheme val="minor"/>
    </font>
    <font>
      <sz val="10"/>
      <color rgb="FF0000FF"/>
      <name val="Calibri"/>
      <family val="2"/>
      <scheme val="minor"/>
    </font>
    <font>
      <b/>
      <sz val="10"/>
      <name val="Calibri"/>
      <family val="2"/>
      <scheme val="minor"/>
    </font>
    <font>
      <sz val="10"/>
      <name val="Calibri"/>
      <family val="2"/>
      <scheme val="minor"/>
    </font>
    <font>
      <b/>
      <i/>
      <sz val="10"/>
      <color theme="1"/>
      <name val="Calibri"/>
      <family val="2"/>
      <scheme val="minor"/>
    </font>
    <font>
      <i/>
      <sz val="10"/>
      <name val="Calibri"/>
      <family val="2"/>
      <scheme val="minor"/>
    </font>
    <font>
      <b/>
      <sz val="10"/>
      <color rgb="FF000000"/>
      <name val="Arial"/>
      <family val="2"/>
    </font>
    <font>
      <b/>
      <sz val="10"/>
      <color rgb="FF0000FF"/>
      <name val="Arial"/>
      <family val="2"/>
    </font>
    <font>
      <i/>
      <sz val="10"/>
      <color rgb="FF000000"/>
      <name val="Calibri"/>
      <family val="2"/>
      <scheme val="minor"/>
    </font>
    <font>
      <sz val="10"/>
      <color rgb="FF000000"/>
      <name val="Calibri"/>
      <family val="2"/>
      <scheme val="minor"/>
    </font>
    <font>
      <sz val="10"/>
      <color rgb="FF666666"/>
      <name val="Calibri"/>
      <family val="2"/>
    </font>
  </fonts>
  <fills count="12">
    <fill>
      <patternFill patternType="none"/>
    </fill>
    <fill>
      <patternFill patternType="gray125"/>
    </fill>
    <fill>
      <patternFill patternType="solid">
        <fgColor rgb="FF1F4E78"/>
        <bgColor rgb="FF1F4E79"/>
      </patternFill>
    </fill>
    <fill>
      <patternFill patternType="solid">
        <fgColor rgb="FFD9EAF7"/>
        <bgColor rgb="FFE7E6E6"/>
      </patternFill>
    </fill>
    <fill>
      <patternFill patternType="solid">
        <fgColor rgb="FFFFFFFF"/>
        <bgColor rgb="FFF2F2F2"/>
      </patternFill>
    </fill>
    <fill>
      <patternFill patternType="solid">
        <fgColor rgb="FFFFF2CC"/>
        <bgColor rgb="FFF2F2F2"/>
      </patternFill>
    </fill>
    <fill>
      <patternFill patternType="solid">
        <fgColor rgb="FFE7E6E6"/>
        <bgColor rgb="FFD9EAF7"/>
      </patternFill>
    </fill>
    <fill>
      <patternFill patternType="solid">
        <fgColor theme="8" tint="-0.49998474074526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E7E6E6"/>
        <bgColor indexed="64"/>
      </patternFill>
    </fill>
  </fills>
  <borders count="45">
    <border>
      <left/>
      <right/>
      <top/>
      <bottom/>
      <diagonal/>
    </border>
    <border>
      <left style="thin">
        <color rgb="FFB4C7E7"/>
      </left>
      <right style="thin">
        <color rgb="FFB4C7E7"/>
      </right>
      <top style="thin">
        <color rgb="FFB4C7E7"/>
      </top>
      <bottom style="thin">
        <color rgb="FFB4C7E7"/>
      </bottom>
      <diagonal/>
    </border>
    <border>
      <left style="thin">
        <color rgb="FFB4C6E7"/>
      </left>
      <right style="thin">
        <color rgb="FFB4C6E7"/>
      </right>
      <top style="thin">
        <color rgb="FFB4C6E7"/>
      </top>
      <bottom style="thin">
        <color rgb="FFB4C6E7"/>
      </bottom>
      <diagonal/>
    </border>
    <border>
      <left style="thin">
        <color rgb="FF1F4E78"/>
      </left>
      <right style="thin">
        <color rgb="FF1F4E78"/>
      </right>
      <top style="thin">
        <color rgb="FF1F4E78"/>
      </top>
      <bottom style="thin">
        <color rgb="FF1F4E78"/>
      </bottom>
      <diagonal/>
    </border>
    <border>
      <left/>
      <right/>
      <top style="thin">
        <color auto="1"/>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3743705557422"/>
      </left>
      <right/>
      <top style="thin">
        <color theme="0" tint="-0.14996795556505021"/>
      </top>
      <bottom/>
      <diagonal/>
    </border>
    <border>
      <left/>
      <right style="thin">
        <color theme="0" tint="-0.14993743705557422"/>
      </right>
      <top style="thin">
        <color theme="0" tint="-0.14996795556505021"/>
      </top>
      <bottom/>
      <diagonal/>
    </border>
    <border>
      <left style="thin">
        <color theme="0" tint="-0.14993743705557422"/>
      </left>
      <right/>
      <top/>
      <bottom/>
      <diagonal/>
    </border>
    <border>
      <left/>
      <right style="thin">
        <color theme="0" tint="-0.14993743705557422"/>
      </right>
      <top/>
      <bottom/>
      <diagonal/>
    </border>
    <border>
      <left style="thin">
        <color theme="0" tint="-0.14993743705557422"/>
      </left>
      <right/>
      <top style="thin">
        <color indexed="64"/>
      </top>
      <bottom/>
      <diagonal/>
    </border>
    <border>
      <left/>
      <right style="thin">
        <color theme="0" tint="-0.14993743705557422"/>
      </right>
      <top style="thin">
        <color indexed="64"/>
      </top>
      <bottom/>
      <diagonal/>
    </border>
    <border>
      <left style="thin">
        <color theme="0" tint="-0.14993743705557422"/>
      </left>
      <right/>
      <top/>
      <bottom style="thin">
        <color theme="0" tint="-0.14993743705557422"/>
      </bottom>
      <diagonal/>
    </border>
    <border>
      <left/>
      <right/>
      <top/>
      <bottom style="thin">
        <color theme="0" tint="-0.14993743705557422"/>
      </bottom>
      <diagonal/>
    </border>
    <border>
      <left style="thin">
        <color theme="0" tint="-0.14996795556505021"/>
      </left>
      <right/>
      <top/>
      <bottom style="thin">
        <color theme="0" tint="-0.14993743705557422"/>
      </bottom>
      <diagonal/>
    </border>
    <border>
      <left/>
      <right style="thin">
        <color theme="0" tint="-0.14993743705557422"/>
      </right>
      <top/>
      <bottom style="thin">
        <color theme="0" tint="-0.14993743705557422"/>
      </bottom>
      <diagonal/>
    </border>
    <border>
      <left/>
      <right/>
      <top style="thin">
        <color indexed="64"/>
      </top>
      <bottom style="thin">
        <color indexed="64"/>
      </bottom>
      <diagonal/>
    </border>
    <border>
      <left style="thin">
        <color theme="0" tint="-0.14996795556505021"/>
      </left>
      <right/>
      <top style="thin">
        <color indexed="64"/>
      </top>
      <bottom style="thin">
        <color indexed="64"/>
      </bottom>
      <diagonal/>
    </border>
    <border>
      <left style="thin">
        <color indexed="64"/>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s>
  <cellStyleXfs count="4">
    <xf numFmtId="0" fontId="0" fillId="0" borderId="0"/>
    <xf numFmtId="0" fontId="1" fillId="0" borderId="0"/>
    <xf numFmtId="0" fontId="1" fillId="0" borderId="0"/>
    <xf numFmtId="0" fontId="2" fillId="0" borderId="0"/>
  </cellStyleXfs>
  <cellXfs count="201">
    <xf numFmtId="0" fontId="0" fillId="0" borderId="0" xfId="0"/>
    <xf numFmtId="0" fontId="7" fillId="4" borderId="1" xfId="3" applyFont="1" applyFill="1" applyBorder="1" applyAlignment="1">
      <alignment vertical="top" wrapText="1"/>
    </xf>
    <xf numFmtId="0" fontId="1" fillId="0" borderId="0" xfId="1"/>
    <xf numFmtId="0" fontId="5" fillId="0" borderId="0" xfId="3" applyFont="1"/>
    <xf numFmtId="0" fontId="2" fillId="0" borderId="0" xfId="3" applyAlignment="1">
      <alignment vertical="center"/>
    </xf>
    <xf numFmtId="0" fontId="13" fillId="5" borderId="0" xfId="3" applyFont="1" applyFill="1" applyAlignment="1">
      <alignment horizontal="right" vertical="center"/>
    </xf>
    <xf numFmtId="0" fontId="14" fillId="0" borderId="0" xfId="3" applyFont="1" applyAlignment="1">
      <alignment vertical="center"/>
    </xf>
    <xf numFmtId="171" fontId="14" fillId="0" borderId="0" xfId="3" applyNumberFormat="1" applyFont="1" applyAlignment="1">
      <alignment vertical="center"/>
    </xf>
    <xf numFmtId="0" fontId="10" fillId="6" borderId="0" xfId="3" applyFont="1" applyFill="1" applyAlignment="1">
      <alignment vertical="center"/>
    </xf>
    <xf numFmtId="0" fontId="15" fillId="6" borderId="0" xfId="2" applyFont="1" applyFill="1"/>
    <xf numFmtId="0" fontId="10" fillId="6" borderId="0" xfId="2" applyFont="1" applyFill="1" applyAlignment="1">
      <alignment vertical="center"/>
    </xf>
    <xf numFmtId="171" fontId="10" fillId="6" borderId="0" xfId="2" applyNumberFormat="1" applyFont="1" applyFill="1" applyAlignment="1">
      <alignment vertical="center"/>
    </xf>
    <xf numFmtId="0" fontId="16" fillId="0" borderId="0" xfId="2" applyFont="1"/>
    <xf numFmtId="0" fontId="14" fillId="4" borderId="0" xfId="3" applyFont="1" applyFill="1" applyAlignment="1">
      <alignment vertical="center"/>
    </xf>
    <xf numFmtId="0" fontId="11" fillId="2" borderId="0" xfId="2" applyFont="1" applyFill="1" applyAlignment="1">
      <alignment vertical="center"/>
    </xf>
    <xf numFmtId="0" fontId="10" fillId="6" borderId="0" xfId="2" applyFont="1" applyFill="1" applyAlignment="1">
      <alignment horizontal="center" vertical="center"/>
    </xf>
    <xf numFmtId="0" fontId="14" fillId="0" borderId="0" xfId="2" applyFont="1" applyAlignment="1">
      <alignment vertical="center"/>
    </xf>
    <xf numFmtId="172" fontId="14" fillId="0" borderId="0" xfId="2" applyNumberFormat="1" applyFont="1" applyAlignment="1">
      <alignment vertical="center"/>
    </xf>
    <xf numFmtId="0" fontId="10" fillId="0" borderId="0" xfId="2" applyFont="1" applyAlignment="1">
      <alignment horizontal="center" vertical="center"/>
    </xf>
    <xf numFmtId="0" fontId="10" fillId="0" borderId="4" xfId="2" applyFont="1" applyBorder="1" applyAlignment="1">
      <alignment vertical="center"/>
    </xf>
    <xf numFmtId="172" fontId="10" fillId="0" borderId="4" xfId="2" applyNumberFormat="1" applyFont="1" applyBorder="1" applyAlignment="1">
      <alignment vertical="center"/>
    </xf>
    <xf numFmtId="0" fontId="10" fillId="0" borderId="4" xfId="2" applyFont="1" applyBorder="1" applyAlignment="1">
      <alignment horizontal="center" vertical="center"/>
    </xf>
    <xf numFmtId="0" fontId="10" fillId="0" borderId="0" xfId="2" applyFont="1" applyAlignment="1">
      <alignment vertical="center"/>
    </xf>
    <xf numFmtId="172" fontId="10" fillId="0" borderId="0" xfId="2" applyNumberFormat="1" applyFont="1" applyAlignment="1">
      <alignment vertical="center"/>
    </xf>
    <xf numFmtId="172" fontId="10" fillId="2" borderId="0" xfId="2" applyNumberFormat="1" applyFont="1" applyFill="1" applyAlignment="1">
      <alignment vertical="center"/>
    </xf>
    <xf numFmtId="0" fontId="10" fillId="2" borderId="0" xfId="2" applyFont="1" applyFill="1" applyAlignment="1">
      <alignment horizontal="center" vertical="center"/>
    </xf>
    <xf numFmtId="0" fontId="10" fillId="2" borderId="0" xfId="2" applyFont="1" applyFill="1" applyAlignment="1">
      <alignment vertical="center" wrapText="1"/>
    </xf>
    <xf numFmtId="0" fontId="17" fillId="0" borderId="0" xfId="0" applyFont="1" applyAlignment="1">
      <alignment vertical="center"/>
    </xf>
    <xf numFmtId="0" fontId="18" fillId="0" borderId="0" xfId="0" applyFont="1" applyAlignment="1">
      <alignment vertical="center"/>
    </xf>
    <xf numFmtId="0" fontId="18" fillId="0" borderId="0" xfId="0" applyFont="1" applyAlignment="1">
      <alignment horizontal="center" vertical="center"/>
    </xf>
    <xf numFmtId="0" fontId="19" fillId="7" borderId="0" xfId="0" applyFont="1" applyFill="1" applyAlignment="1">
      <alignment horizontal="centerContinuous" vertical="center"/>
    </xf>
    <xf numFmtId="0" fontId="20" fillId="8" borderId="8" xfId="0" applyFont="1" applyFill="1" applyBorder="1" applyAlignment="1">
      <alignment horizontal="centerContinuous" vertical="center"/>
    </xf>
    <xf numFmtId="0" fontId="20" fillId="8" borderId="9" xfId="0" applyFont="1" applyFill="1" applyBorder="1" applyAlignment="1">
      <alignment horizontal="centerContinuous" vertical="center"/>
    </xf>
    <xf numFmtId="0" fontId="21" fillId="8" borderId="8" xfId="0" applyFont="1" applyFill="1" applyBorder="1" applyAlignment="1">
      <alignment horizontal="centerContinuous" vertical="center"/>
    </xf>
    <xf numFmtId="0" fontId="21" fillId="8" borderId="10" xfId="0" applyFont="1" applyFill="1" applyBorder="1" applyAlignment="1">
      <alignment horizontal="centerContinuous" vertical="center"/>
    </xf>
    <xf numFmtId="0" fontId="21" fillId="8" borderId="9" xfId="0" applyFont="1" applyFill="1" applyBorder="1" applyAlignment="1">
      <alignment horizontal="centerContinuous" vertical="center"/>
    </xf>
    <xf numFmtId="0" fontId="22" fillId="0" borderId="11" xfId="0" applyFont="1" applyBorder="1" applyAlignment="1">
      <alignment vertical="center"/>
    </xf>
    <xf numFmtId="0" fontId="23" fillId="9" borderId="12" xfId="0" applyFont="1" applyFill="1" applyBorder="1" applyAlignment="1">
      <alignment horizontal="right" vertical="center"/>
    </xf>
    <xf numFmtId="173" fontId="23" fillId="9" borderId="12" xfId="0" applyNumberFormat="1" applyFont="1" applyFill="1" applyBorder="1" applyAlignment="1">
      <alignment vertical="center"/>
    </xf>
    <xf numFmtId="165" fontId="23" fillId="9" borderId="12" xfId="0" applyNumberFormat="1" applyFont="1" applyFill="1" applyBorder="1" applyAlignment="1">
      <alignment vertical="center"/>
    </xf>
    <xf numFmtId="174" fontId="23" fillId="9" borderId="12" xfId="0" applyNumberFormat="1" applyFont="1" applyFill="1" applyBorder="1" applyAlignment="1">
      <alignment vertical="center"/>
    </xf>
    <xf numFmtId="0" fontId="22" fillId="0" borderId="11" xfId="0" applyFont="1" applyBorder="1" applyAlignment="1">
      <alignment horizontal="left" vertical="center" indent="1"/>
    </xf>
    <xf numFmtId="175" fontId="23" fillId="9" borderId="12" xfId="0" applyNumberFormat="1" applyFont="1" applyFill="1" applyBorder="1" applyAlignment="1">
      <alignment vertical="center"/>
    </xf>
    <xf numFmtId="0" fontId="22" fillId="0" borderId="13" xfId="0" applyFont="1" applyBorder="1" applyAlignment="1">
      <alignment vertical="center"/>
    </xf>
    <xf numFmtId="0" fontId="22" fillId="0" borderId="14" xfId="0" applyFont="1" applyBorder="1" applyAlignment="1">
      <alignment vertical="center"/>
    </xf>
    <xf numFmtId="165" fontId="23" fillId="9" borderId="15" xfId="0" applyNumberFormat="1" applyFont="1" applyFill="1" applyBorder="1" applyAlignment="1">
      <alignment vertical="center"/>
    </xf>
    <xf numFmtId="0" fontId="17" fillId="0" borderId="8" xfId="0" applyFont="1" applyBorder="1" applyAlignment="1">
      <alignment vertical="center"/>
    </xf>
    <xf numFmtId="175" fontId="24" fillId="0" borderId="9" xfId="0" applyNumberFormat="1" applyFont="1" applyBorder="1" applyAlignment="1">
      <alignment vertical="center"/>
    </xf>
    <xf numFmtId="166" fontId="23" fillId="9" borderId="12" xfId="0" applyNumberFormat="1" applyFont="1" applyFill="1" applyBorder="1" applyAlignment="1">
      <alignment vertical="center"/>
    </xf>
    <xf numFmtId="167" fontId="23" fillId="9" borderId="15" xfId="0" applyNumberFormat="1" applyFont="1" applyFill="1" applyBorder="1" applyAlignment="1">
      <alignment vertical="center"/>
    </xf>
    <xf numFmtId="0" fontId="17" fillId="0" borderId="16" xfId="0" applyFont="1" applyBorder="1" applyAlignment="1">
      <alignment vertical="center"/>
    </xf>
    <xf numFmtId="173" fontId="17" fillId="0" borderId="17" xfId="0" applyNumberFormat="1" applyFont="1" applyBorder="1" applyAlignment="1">
      <alignment vertical="center"/>
    </xf>
    <xf numFmtId="0" fontId="17" fillId="0" borderId="10" xfId="0" applyFont="1" applyBorder="1" applyAlignment="1">
      <alignment vertical="center"/>
    </xf>
    <xf numFmtId="165" fontId="17" fillId="0" borderId="9" xfId="0" applyNumberFormat="1" applyFont="1" applyBorder="1" applyAlignment="1">
      <alignment vertical="center"/>
    </xf>
    <xf numFmtId="173" fontId="23" fillId="9" borderId="15" xfId="0" applyNumberFormat="1" applyFont="1" applyFill="1" applyBorder="1" applyAlignment="1">
      <alignment vertical="center"/>
    </xf>
    <xf numFmtId="0" fontId="22" fillId="0" borderId="13" xfId="0" applyFont="1" applyBorder="1" applyAlignment="1">
      <alignment horizontal="left" vertical="center" indent="1"/>
    </xf>
    <xf numFmtId="0" fontId="21" fillId="0" borderId="0" xfId="0" applyFont="1" applyAlignment="1">
      <alignment horizontal="left" vertical="center"/>
    </xf>
    <xf numFmtId="0" fontId="21" fillId="0" borderId="0" xfId="0" applyFont="1" applyAlignment="1">
      <alignment horizontal="centerContinuous" vertical="center"/>
    </xf>
    <xf numFmtId="0" fontId="22" fillId="0" borderId="0" xfId="0" applyFont="1" applyAlignment="1">
      <alignment vertical="center"/>
    </xf>
    <xf numFmtId="173" fontId="23" fillId="9" borderId="0" xfId="0" applyNumberFormat="1" applyFont="1" applyFill="1" applyAlignment="1">
      <alignment vertical="center"/>
    </xf>
    <xf numFmtId="174" fontId="22" fillId="0" borderId="0" xfId="0" applyNumberFormat="1" applyFont="1" applyAlignment="1">
      <alignment vertical="center"/>
    </xf>
    <xf numFmtId="168" fontId="23" fillId="9" borderId="0" xfId="0" applyNumberFormat="1" applyFont="1" applyFill="1" applyAlignment="1">
      <alignment horizontal="center" vertical="center"/>
    </xf>
    <xf numFmtId="176" fontId="23" fillId="9" borderId="0" xfId="0" applyNumberFormat="1" applyFont="1" applyFill="1" applyAlignment="1">
      <alignment horizontal="center" vertical="center"/>
    </xf>
    <xf numFmtId="169" fontId="23" fillId="9" borderId="0" xfId="0" applyNumberFormat="1" applyFont="1" applyFill="1" applyAlignment="1">
      <alignment horizontal="center" vertical="center"/>
    </xf>
    <xf numFmtId="166" fontId="22" fillId="0" borderId="0" xfId="0" applyNumberFormat="1" applyFont="1" applyAlignment="1">
      <alignment vertical="center"/>
    </xf>
    <xf numFmtId="166" fontId="23" fillId="9" borderId="0" xfId="0" applyNumberFormat="1" applyFont="1" applyFill="1" applyAlignment="1">
      <alignment vertical="center"/>
    </xf>
    <xf numFmtId="168" fontId="22" fillId="0" borderId="0" xfId="0" applyNumberFormat="1" applyFont="1" applyAlignment="1">
      <alignment horizontal="center" vertical="center"/>
    </xf>
    <xf numFmtId="165" fontId="22" fillId="0" borderId="0" xfId="0" applyNumberFormat="1" applyFont="1" applyAlignment="1">
      <alignment vertical="center"/>
    </xf>
    <xf numFmtId="173" fontId="17" fillId="0" borderId="10" xfId="0" applyNumberFormat="1" applyFont="1" applyBorder="1" applyAlignment="1">
      <alignment vertical="center"/>
    </xf>
    <xf numFmtId="174" fontId="17" fillId="0" borderId="10" xfId="0" applyNumberFormat="1" applyFont="1" applyBorder="1" applyAlignment="1">
      <alignment vertical="center"/>
    </xf>
    <xf numFmtId="168" fontId="17" fillId="0" borderId="10" xfId="0" applyNumberFormat="1" applyFont="1" applyBorder="1" applyAlignment="1">
      <alignment horizontal="center" vertical="center"/>
    </xf>
    <xf numFmtId="165" fontId="17" fillId="0" borderId="10" xfId="0" applyNumberFormat="1" applyFont="1" applyBorder="1" applyAlignment="1">
      <alignment vertical="center"/>
    </xf>
    <xf numFmtId="177" fontId="17" fillId="0" borderId="10" xfId="0" applyNumberFormat="1" applyFont="1" applyBorder="1" applyAlignment="1">
      <alignment vertical="center"/>
    </xf>
    <xf numFmtId="173" fontId="25" fillId="0" borderId="0" xfId="0" applyNumberFormat="1" applyFont="1" applyAlignment="1">
      <alignment vertical="center"/>
    </xf>
    <xf numFmtId="166" fontId="25" fillId="0" borderId="0" xfId="0" applyNumberFormat="1" applyFont="1" applyAlignment="1">
      <alignment vertical="center"/>
    </xf>
    <xf numFmtId="178" fontId="26" fillId="0" borderId="18" xfId="0" applyNumberFormat="1" applyFont="1" applyBorder="1" applyAlignment="1">
      <alignment horizontal="center" vertical="center"/>
    </xf>
    <xf numFmtId="0" fontId="21" fillId="10" borderId="19" xfId="0" applyFont="1" applyFill="1" applyBorder="1" applyAlignment="1">
      <alignment horizontal="centerContinuous" vertical="center"/>
    </xf>
    <xf numFmtId="0" fontId="21" fillId="10" borderId="20" xfId="0" applyFont="1" applyFill="1" applyBorder="1" applyAlignment="1">
      <alignment horizontal="centerContinuous" vertical="center"/>
    </xf>
    <xf numFmtId="0" fontId="21" fillId="10" borderId="21" xfId="0" applyFont="1" applyFill="1" applyBorder="1" applyAlignment="1">
      <alignment horizontal="centerContinuous" vertical="center"/>
    </xf>
    <xf numFmtId="0" fontId="22" fillId="0" borderId="22" xfId="0" applyFont="1" applyBorder="1" applyAlignment="1">
      <alignment vertical="center"/>
    </xf>
    <xf numFmtId="0" fontId="22" fillId="0" borderId="23" xfId="0" applyFont="1" applyBorder="1" applyAlignment="1">
      <alignment vertical="center"/>
    </xf>
    <xf numFmtId="179" fontId="21" fillId="0" borderId="0" xfId="0" applyNumberFormat="1" applyFont="1" applyAlignment="1">
      <alignment horizontal="center" vertical="center"/>
    </xf>
    <xf numFmtId="179" fontId="21" fillId="0" borderId="22" xfId="0" applyNumberFormat="1" applyFont="1" applyBorder="1" applyAlignment="1">
      <alignment horizontal="center" vertical="center"/>
    </xf>
    <xf numFmtId="179" fontId="21" fillId="0" borderId="23" xfId="0" applyNumberFormat="1" applyFont="1" applyBorder="1" applyAlignment="1">
      <alignment horizontal="center" vertical="center"/>
    </xf>
    <xf numFmtId="0" fontId="22" fillId="0" borderId="22" xfId="0" applyFont="1" applyBorder="1" applyAlignment="1">
      <alignment horizontal="left" vertical="center" indent="1"/>
    </xf>
    <xf numFmtId="165" fontId="25" fillId="0" borderId="0" xfId="0" applyNumberFormat="1" applyFont="1" applyAlignment="1">
      <alignment vertical="center"/>
    </xf>
    <xf numFmtId="165" fontId="25" fillId="8" borderId="0" xfId="0" applyNumberFormat="1" applyFont="1" applyFill="1" applyAlignment="1">
      <alignment vertical="center"/>
    </xf>
    <xf numFmtId="165" fontId="23" fillId="9" borderId="22" xfId="0" applyNumberFormat="1" applyFont="1" applyFill="1" applyBorder="1" applyAlignment="1">
      <alignment vertical="center"/>
    </xf>
    <xf numFmtId="165" fontId="23" fillId="9" borderId="0" xfId="0" applyNumberFormat="1" applyFont="1" applyFill="1" applyAlignment="1">
      <alignment vertical="center"/>
    </xf>
    <xf numFmtId="165" fontId="23" fillId="9" borderId="23" xfId="0" applyNumberFormat="1" applyFont="1" applyFill="1" applyBorder="1" applyAlignment="1">
      <alignment vertical="center"/>
    </xf>
    <xf numFmtId="0" fontId="17" fillId="0" borderId="24" xfId="0" applyFont="1" applyBorder="1" applyAlignment="1">
      <alignment vertical="center"/>
    </xf>
    <xf numFmtId="165" fontId="17" fillId="8" borderId="10" xfId="0" applyNumberFormat="1" applyFont="1" applyFill="1" applyBorder="1" applyAlignment="1">
      <alignment vertical="center"/>
    </xf>
    <xf numFmtId="165" fontId="24" fillId="0" borderId="24" xfId="0" applyNumberFormat="1" applyFont="1" applyBorder="1" applyAlignment="1">
      <alignment vertical="center"/>
    </xf>
    <xf numFmtId="165" fontId="24" fillId="0" borderId="10" xfId="0" applyNumberFormat="1" applyFont="1" applyBorder="1" applyAlignment="1">
      <alignment vertical="center"/>
    </xf>
    <xf numFmtId="165" fontId="24" fillId="0" borderId="25" xfId="0" applyNumberFormat="1" applyFont="1" applyBorder="1" applyAlignment="1">
      <alignment vertical="center"/>
    </xf>
    <xf numFmtId="0" fontId="23" fillId="0" borderId="22" xfId="0" applyFont="1" applyBorder="1" applyAlignment="1">
      <alignment vertical="center"/>
    </xf>
    <xf numFmtId="0" fontId="23" fillId="0" borderId="0" xfId="0" applyFont="1" applyAlignment="1">
      <alignment vertical="center"/>
    </xf>
    <xf numFmtId="0" fontId="23" fillId="0" borderId="23" xfId="0" applyFont="1" applyBorder="1" applyAlignment="1">
      <alignment vertical="center"/>
    </xf>
    <xf numFmtId="0" fontId="17" fillId="0" borderId="22" xfId="0" applyFont="1" applyBorder="1" applyAlignment="1">
      <alignment vertical="center"/>
    </xf>
    <xf numFmtId="0" fontId="17" fillId="0" borderId="26" xfId="0" applyFont="1" applyBorder="1" applyAlignment="1">
      <alignment vertical="center"/>
    </xf>
    <xf numFmtId="0" fontId="17" fillId="0" borderId="27" xfId="0" applyFont="1" applyBorder="1" applyAlignment="1">
      <alignment vertical="center"/>
    </xf>
    <xf numFmtId="165" fontId="25" fillId="0" borderId="27" xfId="0" applyNumberFormat="1" applyFont="1" applyBorder="1" applyAlignment="1">
      <alignment vertical="center"/>
    </xf>
    <xf numFmtId="165" fontId="23" fillId="9" borderId="26" xfId="0" applyNumberFormat="1" applyFont="1" applyFill="1" applyBorder="1" applyAlignment="1">
      <alignment vertical="center"/>
    </xf>
    <xf numFmtId="165" fontId="23" fillId="9" borderId="27" xfId="0" applyNumberFormat="1" applyFont="1" applyFill="1" applyBorder="1" applyAlignment="1">
      <alignment vertical="center"/>
    </xf>
    <xf numFmtId="165" fontId="23" fillId="9" borderId="28" xfId="0" applyNumberFormat="1" applyFont="1" applyFill="1" applyBorder="1" applyAlignment="1">
      <alignment vertical="center"/>
    </xf>
    <xf numFmtId="0" fontId="21" fillId="10" borderId="29" xfId="0" applyFont="1" applyFill="1" applyBorder="1" applyAlignment="1">
      <alignment horizontal="centerContinuous" vertical="center"/>
    </xf>
    <xf numFmtId="0" fontId="21" fillId="10" borderId="30" xfId="0" applyFont="1" applyFill="1" applyBorder="1" applyAlignment="1">
      <alignment horizontal="centerContinuous" vertical="center"/>
    </xf>
    <xf numFmtId="0" fontId="22" fillId="0" borderId="31" xfId="0" applyFont="1" applyBorder="1" applyAlignment="1">
      <alignment vertical="center"/>
    </xf>
    <xf numFmtId="0" fontId="22" fillId="0" borderId="32" xfId="0" applyFont="1" applyBorder="1" applyAlignment="1">
      <alignment vertical="center"/>
    </xf>
    <xf numFmtId="179" fontId="21" fillId="0" borderId="32" xfId="0" applyNumberFormat="1" applyFont="1" applyBorder="1" applyAlignment="1">
      <alignment horizontal="center" vertical="center"/>
    </xf>
    <xf numFmtId="0" fontId="23" fillId="0" borderId="32" xfId="0" applyFont="1" applyBorder="1" applyAlignment="1">
      <alignment vertical="center"/>
    </xf>
    <xf numFmtId="0" fontId="22" fillId="0" borderId="31" xfId="0" applyFont="1" applyBorder="1" applyAlignment="1">
      <alignment horizontal="left" vertical="center" indent="1"/>
    </xf>
    <xf numFmtId="176" fontId="22" fillId="0" borderId="0" xfId="0" applyNumberFormat="1" applyFont="1" applyAlignment="1">
      <alignment horizontal="center" vertical="center"/>
    </xf>
    <xf numFmtId="165" fontId="23" fillId="9" borderId="32" xfId="0" applyNumberFormat="1" applyFont="1" applyFill="1" applyBorder="1" applyAlignment="1">
      <alignment vertical="center"/>
    </xf>
    <xf numFmtId="0" fontId="17" fillId="0" borderId="33" xfId="0" applyFont="1" applyBorder="1" applyAlignment="1">
      <alignment vertical="center"/>
    </xf>
    <xf numFmtId="165" fontId="24" fillId="0" borderId="34" xfId="0" applyNumberFormat="1" applyFont="1" applyBorder="1" applyAlignment="1">
      <alignment vertical="center"/>
    </xf>
    <xf numFmtId="0" fontId="22" fillId="0" borderId="35" xfId="0" applyFont="1" applyBorder="1" applyAlignment="1">
      <alignment horizontal="left" vertical="center" indent="1"/>
    </xf>
    <xf numFmtId="166" fontId="25" fillId="0" borderId="36" xfId="0" applyNumberFormat="1" applyFont="1" applyBorder="1" applyAlignment="1">
      <alignment vertical="center"/>
    </xf>
    <xf numFmtId="165" fontId="25" fillId="0" borderId="36" xfId="0" applyNumberFormat="1" applyFont="1" applyBorder="1" applyAlignment="1">
      <alignment vertical="center"/>
    </xf>
    <xf numFmtId="165" fontId="23" fillId="9" borderId="37" xfId="0" applyNumberFormat="1" applyFont="1" applyFill="1" applyBorder="1" applyAlignment="1">
      <alignment vertical="center"/>
    </xf>
    <xf numFmtId="165" fontId="23" fillId="9" borderId="36" xfId="0" applyNumberFormat="1" applyFont="1" applyFill="1" applyBorder="1" applyAlignment="1">
      <alignment vertical="center"/>
    </xf>
    <xf numFmtId="165" fontId="23" fillId="9" borderId="38" xfId="0" applyNumberFormat="1" applyFont="1" applyFill="1" applyBorder="1" applyAlignment="1">
      <alignment vertical="center"/>
    </xf>
    <xf numFmtId="0" fontId="22" fillId="0" borderId="26" xfId="0" applyFont="1" applyBorder="1" applyAlignment="1">
      <alignment vertical="center"/>
    </xf>
    <xf numFmtId="0" fontId="22" fillId="0" borderId="27" xfId="0" applyFont="1" applyBorder="1" applyAlignment="1">
      <alignment vertical="center"/>
    </xf>
    <xf numFmtId="0" fontId="21" fillId="0" borderId="0" xfId="0" quotePrefix="1" applyFont="1" applyAlignment="1">
      <alignment horizontal="center" vertical="center"/>
    </xf>
    <xf numFmtId="0" fontId="21" fillId="0" borderId="0" xfId="0" applyFont="1" applyAlignment="1">
      <alignment horizontal="center" vertical="center"/>
    </xf>
    <xf numFmtId="0" fontId="21" fillId="0" borderId="0" xfId="0" quotePrefix="1" applyFont="1" applyAlignment="1">
      <alignment horizontal="left" vertical="center"/>
    </xf>
    <xf numFmtId="173" fontId="25" fillId="0" borderId="0" xfId="0" applyNumberFormat="1" applyFont="1" applyAlignment="1">
      <alignment horizontal="center" vertical="center"/>
    </xf>
    <xf numFmtId="166" fontId="25" fillId="0" borderId="0" xfId="0" applyNumberFormat="1" applyFont="1" applyAlignment="1">
      <alignment horizontal="center" vertical="center"/>
    </xf>
    <xf numFmtId="176" fontId="22" fillId="0" borderId="14" xfId="0" applyNumberFormat="1" applyFont="1" applyBorder="1" applyAlignment="1">
      <alignment horizontal="center" vertical="center"/>
    </xf>
    <xf numFmtId="166" fontId="25" fillId="0" borderId="14" xfId="0" applyNumberFormat="1" applyFont="1" applyBorder="1" applyAlignment="1">
      <alignment horizontal="center" vertical="center"/>
    </xf>
    <xf numFmtId="166" fontId="25" fillId="0" borderId="14" xfId="0" applyNumberFormat="1" applyFont="1" applyBorder="1" applyAlignment="1">
      <alignment vertical="center"/>
    </xf>
    <xf numFmtId="177" fontId="17" fillId="0" borderId="10" xfId="0" applyNumberFormat="1" applyFont="1" applyBorder="1" applyAlignment="1">
      <alignment horizontal="center" vertical="center"/>
    </xf>
    <xf numFmtId="0" fontId="22" fillId="0" borderId="0" xfId="0" applyFont="1" applyAlignment="1">
      <alignment horizontal="left" vertical="center" indent="1"/>
    </xf>
    <xf numFmtId="166" fontId="23" fillId="0" borderId="0" xfId="0" applyNumberFormat="1" applyFont="1" applyAlignment="1">
      <alignment vertical="center"/>
    </xf>
    <xf numFmtId="166" fontId="25" fillId="0" borderId="22" xfId="0" applyNumberFormat="1" applyFont="1" applyBorder="1" applyAlignment="1">
      <alignment vertical="center"/>
    </xf>
    <xf numFmtId="173" fontId="17" fillId="0" borderId="24" xfId="0" applyNumberFormat="1" applyFont="1" applyBorder="1" applyAlignment="1">
      <alignment vertical="center"/>
    </xf>
    <xf numFmtId="0" fontId="18" fillId="0" borderId="0" xfId="0" applyFont="1" applyAlignment="1">
      <alignment horizontal="left" vertical="center" indent="2"/>
    </xf>
    <xf numFmtId="165" fontId="18" fillId="0" borderId="0" xfId="0" applyNumberFormat="1" applyFont="1" applyAlignment="1">
      <alignment vertical="center"/>
    </xf>
    <xf numFmtId="165" fontId="18" fillId="8" borderId="0" xfId="0" applyNumberFormat="1" applyFont="1" applyFill="1" applyAlignment="1">
      <alignment vertical="center"/>
    </xf>
    <xf numFmtId="165" fontId="27" fillId="0" borderId="22" xfId="0" applyNumberFormat="1" applyFont="1" applyBorder="1" applyAlignment="1">
      <alignment vertical="center"/>
    </xf>
    <xf numFmtId="165" fontId="27" fillId="0" borderId="0" xfId="0" applyNumberFormat="1" applyFont="1" applyAlignment="1">
      <alignment vertical="center"/>
    </xf>
    <xf numFmtId="166" fontId="22" fillId="0" borderId="22" xfId="0" applyNumberFormat="1" applyFont="1" applyBorder="1" applyAlignment="1">
      <alignment vertical="center"/>
    </xf>
    <xf numFmtId="179" fontId="21" fillId="0" borderId="0" xfId="0" applyNumberFormat="1" applyFont="1" applyAlignment="1">
      <alignment horizontal="left" vertical="center"/>
    </xf>
    <xf numFmtId="0" fontId="17" fillId="0" borderId="39" xfId="0" applyFont="1" applyBorder="1" applyAlignment="1">
      <alignment vertical="center"/>
    </xf>
    <xf numFmtId="173" fontId="17" fillId="0" borderId="39" xfId="0" applyNumberFormat="1" applyFont="1" applyBorder="1" applyAlignment="1">
      <alignment vertical="center"/>
    </xf>
    <xf numFmtId="173" fontId="17" fillId="0" borderId="40" xfId="0" applyNumberFormat="1" applyFont="1" applyBorder="1" applyAlignment="1">
      <alignment vertical="center"/>
    </xf>
    <xf numFmtId="0" fontId="18" fillId="0" borderId="0" xfId="0" applyFont="1" applyAlignment="1">
      <alignment horizontal="left" vertical="center" indent="1"/>
    </xf>
    <xf numFmtId="166" fontId="27" fillId="0" borderId="0" xfId="0" applyNumberFormat="1" applyFont="1" applyAlignment="1">
      <alignment vertical="center"/>
    </xf>
    <xf numFmtId="166" fontId="27" fillId="0" borderId="22" xfId="0" applyNumberFormat="1" applyFont="1" applyBorder="1" applyAlignment="1">
      <alignment vertical="center"/>
    </xf>
    <xf numFmtId="178" fontId="22" fillId="0" borderId="0" xfId="0" applyNumberFormat="1" applyFont="1" applyAlignment="1">
      <alignment horizontal="center" vertical="center"/>
    </xf>
    <xf numFmtId="168" fontId="25" fillId="0" borderId="0" xfId="0" applyNumberFormat="1" applyFont="1" applyAlignment="1">
      <alignment horizontal="center" vertical="center"/>
    </xf>
    <xf numFmtId="167" fontId="22" fillId="0" borderId="0" xfId="0" applyNumberFormat="1" applyFont="1" applyAlignment="1">
      <alignment horizontal="center" vertical="center"/>
    </xf>
    <xf numFmtId="167" fontId="22" fillId="0" borderId="14" xfId="0" applyNumberFormat="1" applyFont="1" applyBorder="1" applyAlignment="1">
      <alignment horizontal="center" vertical="center"/>
    </xf>
    <xf numFmtId="168" fontId="25" fillId="0" borderId="14" xfId="0" applyNumberFormat="1" applyFont="1" applyBorder="1" applyAlignment="1">
      <alignment horizontal="center" vertical="center"/>
    </xf>
    <xf numFmtId="166" fontId="27" fillId="0" borderId="0" xfId="0" applyNumberFormat="1" applyFont="1" applyAlignment="1">
      <alignment horizontal="right" vertical="center"/>
    </xf>
    <xf numFmtId="166" fontId="25" fillId="8" borderId="22" xfId="0" applyNumberFormat="1" applyFont="1" applyFill="1" applyBorder="1" applyAlignment="1">
      <alignment vertical="center"/>
    </xf>
    <xf numFmtId="166" fontId="25" fillId="8" borderId="0" xfId="0" applyNumberFormat="1" applyFont="1" applyFill="1" applyAlignment="1">
      <alignment vertical="center"/>
    </xf>
    <xf numFmtId="169" fontId="25" fillId="0" borderId="0" xfId="0" applyNumberFormat="1" applyFont="1" applyAlignment="1">
      <alignment horizontal="center" vertical="center"/>
    </xf>
    <xf numFmtId="10" fontId="25" fillId="0" borderId="0" xfId="1" applyNumberFormat="1" applyFont="1" applyAlignment="1">
      <alignment vertical="center"/>
    </xf>
    <xf numFmtId="0" fontId="19" fillId="7" borderId="8" xfId="0" applyFont="1" applyFill="1" applyBorder="1" applyAlignment="1">
      <alignment horizontal="centerContinuous" vertical="center"/>
    </xf>
    <xf numFmtId="0" fontId="19" fillId="7" borderId="10" xfId="0" applyFont="1" applyFill="1" applyBorder="1" applyAlignment="1">
      <alignment horizontal="centerContinuous" vertical="center"/>
    </xf>
    <xf numFmtId="0" fontId="19" fillId="7" borderId="9" xfId="0" applyFont="1" applyFill="1" applyBorder="1" applyAlignment="1">
      <alignment horizontal="centerContinuous" vertical="center"/>
    </xf>
    <xf numFmtId="173" fontId="25" fillId="0" borderId="22" xfId="0" applyNumberFormat="1" applyFont="1" applyBorder="1" applyAlignment="1">
      <alignment vertical="center"/>
    </xf>
    <xf numFmtId="174" fontId="25" fillId="0" borderId="0" xfId="0" applyNumberFormat="1" applyFont="1" applyAlignment="1">
      <alignment vertical="center"/>
    </xf>
    <xf numFmtId="174" fontId="25" fillId="0" borderId="22" xfId="0" applyNumberFormat="1" applyFont="1" applyBorder="1" applyAlignment="1">
      <alignment vertical="center"/>
    </xf>
    <xf numFmtId="14" fontId="21" fillId="0" borderId="0" xfId="0" applyNumberFormat="1" applyFont="1" applyAlignment="1">
      <alignment horizontal="center" vertical="center"/>
    </xf>
    <xf numFmtId="14" fontId="21" fillId="0" borderId="22" xfId="0" applyNumberFormat="1" applyFont="1" applyBorder="1" applyAlignment="1">
      <alignment horizontal="center" vertical="center"/>
    </xf>
    <xf numFmtId="0" fontId="17" fillId="0" borderId="41" xfId="0" applyFont="1" applyBorder="1" applyAlignment="1">
      <alignment vertical="center"/>
    </xf>
    <xf numFmtId="180" fontId="17" fillId="0" borderId="42" xfId="0" applyNumberFormat="1" applyFont="1" applyBorder="1" applyAlignment="1">
      <alignment vertical="center"/>
    </xf>
    <xf numFmtId="0" fontId="17" fillId="0" borderId="43" xfId="0" applyFont="1" applyBorder="1" applyAlignment="1">
      <alignment vertical="center"/>
    </xf>
    <xf numFmtId="165" fontId="17" fillId="0" borderId="44" xfId="0" applyNumberFormat="1" applyFont="1" applyBorder="1" applyAlignment="1">
      <alignment vertical="center"/>
    </xf>
    <xf numFmtId="179" fontId="21" fillId="0" borderId="0" xfId="0" applyNumberFormat="1" applyFont="1" applyAlignment="1">
      <alignment horizontal="center" vertical="center" wrapText="1"/>
    </xf>
    <xf numFmtId="0" fontId="30" fillId="0" borderId="0" xfId="0" applyFont="1" applyAlignment="1">
      <alignment horizontal="center" vertical="center"/>
    </xf>
    <xf numFmtId="164" fontId="31" fillId="0" borderId="12" xfId="0" applyNumberFormat="1" applyFont="1" applyBorder="1" applyAlignment="1">
      <alignment horizontal="right" vertical="center"/>
    </xf>
    <xf numFmtId="174" fontId="22" fillId="0" borderId="15" xfId="0" applyNumberFormat="1" applyFont="1" applyBorder="1" applyAlignment="1">
      <alignment vertical="center"/>
    </xf>
    <xf numFmtId="166" fontId="30" fillId="0" borderId="0" xfId="0" applyNumberFormat="1" applyFont="1" applyAlignment="1">
      <alignment vertical="center"/>
    </xf>
    <xf numFmtId="170" fontId="32" fillId="11" borderId="6" xfId="1" applyNumberFormat="1" applyFont="1" applyFill="1" applyBorder="1" applyAlignment="1">
      <alignment vertical="center"/>
    </xf>
    <xf numFmtId="170" fontId="32" fillId="11" borderId="5" xfId="1" applyNumberFormat="1" applyFont="1" applyFill="1" applyBorder="1" applyAlignment="1">
      <alignment vertical="center"/>
    </xf>
    <xf numFmtId="170" fontId="32" fillId="11" borderId="7" xfId="1" applyNumberFormat="1" applyFont="1" applyFill="1" applyBorder="1" applyAlignment="1">
      <alignment vertical="center"/>
    </xf>
    <xf numFmtId="0" fontId="10" fillId="0" borderId="0" xfId="3" applyFont="1" applyAlignment="1">
      <alignment horizontal="left" vertical="center" wrapText="1"/>
    </xf>
    <xf numFmtId="0" fontId="11" fillId="2" borderId="0" xfId="3" applyFont="1" applyFill="1" applyAlignment="1">
      <alignment horizontal="center" vertical="center" wrapText="1"/>
    </xf>
    <xf numFmtId="0" fontId="10" fillId="0" borderId="3" xfId="3" applyFont="1" applyBorder="1" applyAlignment="1">
      <alignment horizontal="center" vertical="center" wrapText="1"/>
    </xf>
    <xf numFmtId="0" fontId="18" fillId="0" borderId="0" xfId="0" applyFont="1" applyAlignment="1">
      <alignment vertical="center"/>
    </xf>
    <xf numFmtId="0" fontId="12" fillId="0" borderId="0" xfId="3" applyFont="1" applyAlignment="1">
      <alignment vertical="center"/>
    </xf>
    <xf numFmtId="0" fontId="10" fillId="3" borderId="0" xfId="3" applyFont="1" applyFill="1" applyAlignment="1">
      <alignment horizontal="right" vertical="center" wrapText="1"/>
    </xf>
    <xf numFmtId="0" fontId="10" fillId="6" borderId="0" xfId="2" applyFont="1" applyFill="1" applyAlignment="1">
      <alignment horizontal="center" vertical="center" wrapText="1"/>
    </xf>
    <xf numFmtId="0" fontId="14" fillId="0" borderId="0" xfId="2" applyFont="1" applyAlignment="1">
      <alignment vertical="center" wrapText="1"/>
    </xf>
    <xf numFmtId="0" fontId="10" fillId="0" borderId="4" xfId="2" applyFont="1" applyBorder="1" applyAlignment="1">
      <alignment vertical="center" wrapText="1"/>
    </xf>
    <xf numFmtId="0" fontId="10" fillId="0" borderId="0" xfId="2" applyFont="1" applyAlignment="1">
      <alignment vertical="center" wrapText="1"/>
    </xf>
    <xf numFmtId="0" fontId="6" fillId="2" borderId="0" xfId="2" applyFont="1" applyFill="1" applyAlignment="1">
      <alignment horizontal="left" vertical="center"/>
    </xf>
    <xf numFmtId="0" fontId="9" fillId="4" borderId="2" xfId="2" applyFont="1" applyFill="1" applyBorder="1" applyAlignment="1">
      <alignment horizontal="left" vertical="top" wrapText="1"/>
    </xf>
    <xf numFmtId="0" fontId="3" fillId="2" borderId="0" xfId="3" applyFont="1" applyFill="1" applyAlignment="1">
      <alignment horizontal="left" vertical="center"/>
    </xf>
    <xf numFmtId="0" fontId="4" fillId="3" borderId="0" xfId="3" applyFont="1" applyFill="1" applyAlignment="1">
      <alignment horizontal="left" vertical="center"/>
    </xf>
    <xf numFmtId="0" fontId="6" fillId="2" borderId="0" xfId="3" applyFont="1" applyFill="1" applyAlignment="1">
      <alignment horizontal="left" vertical="center"/>
    </xf>
    <xf numFmtId="0" fontId="7" fillId="4" borderId="1" xfId="3" applyFont="1" applyFill="1" applyBorder="1" applyAlignment="1">
      <alignment vertical="top" wrapText="1"/>
    </xf>
    <xf numFmtId="0" fontId="8" fillId="4" borderId="1" xfId="3" applyFont="1" applyFill="1" applyBorder="1" applyAlignment="1">
      <alignment vertical="top" wrapText="1"/>
    </xf>
    <xf numFmtId="0" fontId="9" fillId="4" borderId="1" xfId="3" applyFont="1" applyFill="1" applyBorder="1" applyAlignment="1">
      <alignment vertical="top" wrapText="1"/>
    </xf>
    <xf numFmtId="0" fontId="7" fillId="4" borderId="2" xfId="2" applyFont="1" applyFill="1" applyBorder="1" applyAlignment="1">
      <alignment horizontal="left" vertical="top" wrapText="1"/>
    </xf>
    <xf numFmtId="0" fontId="8" fillId="4" borderId="2" xfId="2" applyFont="1" applyFill="1" applyBorder="1" applyAlignment="1">
      <alignment horizontal="left" vertical="top" wrapText="1"/>
    </xf>
    <xf numFmtId="0" fontId="6" fillId="2" borderId="1" xfId="2" applyFont="1" applyFill="1" applyBorder="1" applyAlignment="1">
      <alignment horizontal="left" vertical="center"/>
    </xf>
  </cellXfs>
  <cellStyles count="4">
    <cellStyle name="Normal" xfId="0" builtinId="0"/>
    <cellStyle name="Normal 1" xfId="2" xr:uid="{00000000-0005-0000-0000-000007000000}"/>
    <cellStyle name="Normal 2" xfId="3" xr:uid="{00000000-0005-0000-0000-000008000000}"/>
    <cellStyle name="Normal 3" xfId="1" xr:uid="{00000000-0005-0000-0000-000006000000}"/>
  </cellStyles>
  <dxfs count="20">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4C6E7"/>
      <rgbColor rgb="FF808080"/>
      <rgbColor rgb="FF9999FF"/>
      <rgbColor rgb="FF993366"/>
      <rgbColor rgb="FFFFF2CC"/>
      <rgbColor rgb="FFD9EAF7"/>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F2F2F2"/>
      <rgbColor rgb="FFC6EFCE"/>
      <rgbColor rgb="FFFFEB9C"/>
      <rgbColor rgb="FFD9D9D9"/>
      <rgbColor rgb="FFE7E6E6"/>
      <rgbColor rgb="FFCC99FF"/>
      <rgbColor rgb="FFFFC7CE"/>
      <rgbColor rgb="FF3366FF"/>
      <rgbColor rgb="FF33CCCC"/>
      <rgbColor rgb="FF99CC00"/>
      <rgbColor rgb="FFFFCC00"/>
      <rgbColor rgb="FFFF9900"/>
      <rgbColor rgb="FFFF6600"/>
      <rgbColor rgb="FF666666"/>
      <rgbColor rgb="FF969696"/>
      <rgbColor rgb="FF1F4E78"/>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H74"/>
  <sheetViews>
    <sheetView showGridLines="0" zoomScale="130" zoomScaleNormal="130" workbookViewId="0">
      <pane ySplit="2" topLeftCell="A3" activePane="bottomLeft" state="frozen"/>
      <selection pane="bottomLeft" activeCell="M72" sqref="M72"/>
    </sheetView>
  </sheetViews>
  <sheetFormatPr baseColWidth="10" defaultColWidth="8.6640625" defaultRowHeight="13" x14ac:dyDescent="0.15"/>
  <cols>
    <col min="1" max="1" width="2.1640625" style="2" customWidth="1"/>
    <col min="2" max="7" width="15.5" style="2" customWidth="1"/>
    <col min="8" max="8" width="2.1640625" style="2" customWidth="1"/>
  </cols>
  <sheetData>
    <row r="1" spans="2:7" ht="30" customHeight="1" x14ac:dyDescent="0.15">
      <c r="B1" s="192" t="s">
        <v>221</v>
      </c>
      <c r="C1" s="192"/>
      <c r="D1" s="192"/>
      <c r="E1" s="192"/>
      <c r="F1" s="192"/>
      <c r="G1" s="192"/>
    </row>
    <row r="2" spans="2:7" ht="22" customHeight="1" x14ac:dyDescent="0.15">
      <c r="B2" s="193" t="s">
        <v>222</v>
      </c>
      <c r="C2" s="193"/>
      <c r="D2" s="193"/>
      <c r="E2" s="193"/>
      <c r="F2" s="193"/>
      <c r="G2" s="193"/>
    </row>
    <row r="3" spans="2:7" ht="14" x14ac:dyDescent="0.15">
      <c r="B3" s="3"/>
      <c r="C3" s="3"/>
      <c r="D3" s="3"/>
      <c r="E3" s="3"/>
      <c r="F3" s="3"/>
      <c r="G3" s="3"/>
    </row>
    <row r="4" spans="2:7" ht="22" customHeight="1" x14ac:dyDescent="0.15">
      <c r="B4" s="194" t="s">
        <v>0</v>
      </c>
      <c r="C4" s="194"/>
      <c r="D4" s="194"/>
      <c r="E4" s="194" t="s">
        <v>1</v>
      </c>
      <c r="F4" s="194"/>
      <c r="G4" s="194"/>
    </row>
    <row r="5" spans="2:7" ht="22" customHeight="1" x14ac:dyDescent="0.15">
      <c r="B5" s="195" t="s">
        <v>223</v>
      </c>
      <c r="C5" s="195"/>
      <c r="D5" s="195"/>
      <c r="E5" s="195" t="s">
        <v>224</v>
      </c>
      <c r="F5" s="196"/>
      <c r="G5" s="196"/>
    </row>
    <row r="6" spans="2:7" ht="22" customHeight="1" x14ac:dyDescent="0.15">
      <c r="B6" s="195"/>
      <c r="C6" s="195"/>
      <c r="D6" s="195"/>
      <c r="E6" s="196"/>
      <c r="F6" s="196"/>
      <c r="G6" s="196"/>
    </row>
    <row r="7" spans="2:7" ht="22" customHeight="1" x14ac:dyDescent="0.15">
      <c r="B7" s="195"/>
      <c r="C7" s="195"/>
      <c r="D7" s="195"/>
      <c r="E7" s="196"/>
      <c r="F7" s="196"/>
      <c r="G7" s="196"/>
    </row>
    <row r="8" spans="2:7" ht="22" customHeight="1" x14ac:dyDescent="0.15">
      <c r="B8" s="195"/>
      <c r="C8" s="195"/>
      <c r="D8" s="195"/>
      <c r="E8" s="196"/>
      <c r="F8" s="196"/>
      <c r="G8" s="196"/>
    </row>
    <row r="9" spans="2:7" ht="22" customHeight="1" x14ac:dyDescent="0.15">
      <c r="B9" s="195"/>
      <c r="C9" s="195"/>
      <c r="D9" s="195"/>
      <c r="E9" s="196"/>
      <c r="F9" s="196"/>
      <c r="G9" s="196"/>
    </row>
    <row r="10" spans="2:7" ht="22" customHeight="1" x14ac:dyDescent="0.15">
      <c r="B10" s="195"/>
      <c r="C10" s="195"/>
      <c r="D10" s="195"/>
      <c r="E10" s="196"/>
      <c r="F10" s="196"/>
      <c r="G10" s="196"/>
    </row>
    <row r="11" spans="2:7" ht="14" x14ac:dyDescent="0.15">
      <c r="B11" s="3"/>
      <c r="C11" s="3"/>
      <c r="D11" s="3"/>
      <c r="E11" s="3"/>
      <c r="F11" s="3"/>
      <c r="G11" s="3"/>
    </row>
    <row r="12" spans="2:7" ht="22" customHeight="1" x14ac:dyDescent="0.15">
      <c r="B12" s="194" t="s">
        <v>2</v>
      </c>
      <c r="C12" s="194"/>
      <c r="D12" s="194"/>
      <c r="E12" s="194" t="s">
        <v>3</v>
      </c>
      <c r="F12" s="194"/>
      <c r="G12" s="194"/>
    </row>
    <row r="13" spans="2:7" ht="20" customHeight="1" x14ac:dyDescent="0.15">
      <c r="B13" s="197" t="s">
        <v>231</v>
      </c>
      <c r="C13" s="197"/>
      <c r="D13" s="197"/>
      <c r="E13" s="196" t="s">
        <v>225</v>
      </c>
      <c r="F13" s="196"/>
      <c r="G13" s="196"/>
    </row>
    <row r="14" spans="2:7" ht="20" customHeight="1" x14ac:dyDescent="0.15">
      <c r="B14" s="197"/>
      <c r="C14" s="197"/>
      <c r="D14" s="197"/>
      <c r="E14" s="196"/>
      <c r="F14" s="196"/>
      <c r="G14" s="196"/>
    </row>
    <row r="15" spans="2:7" ht="20" customHeight="1" x14ac:dyDescent="0.15">
      <c r="B15" s="197"/>
      <c r="C15" s="197"/>
      <c r="D15" s="197"/>
      <c r="E15" s="196"/>
      <c r="F15" s="196"/>
      <c r="G15" s="196"/>
    </row>
    <row r="16" spans="2:7" ht="20" customHeight="1" x14ac:dyDescent="0.15">
      <c r="B16" s="197"/>
      <c r="C16" s="197"/>
      <c r="D16" s="197"/>
      <c r="E16" s="196"/>
      <c r="F16" s="196"/>
      <c r="G16" s="196"/>
    </row>
    <row r="17" spans="2:7" ht="20" customHeight="1" x14ac:dyDescent="0.15">
      <c r="B17" s="197"/>
      <c r="C17" s="197"/>
      <c r="D17" s="197"/>
      <c r="E17" s="196"/>
      <c r="F17" s="196"/>
      <c r="G17" s="196"/>
    </row>
    <row r="18" spans="2:7" ht="20" customHeight="1" x14ac:dyDescent="0.15">
      <c r="B18" s="197"/>
      <c r="C18" s="197"/>
      <c r="D18" s="197"/>
      <c r="E18" s="196"/>
      <c r="F18" s="196"/>
      <c r="G18" s="196"/>
    </row>
    <row r="19" spans="2:7" ht="20" customHeight="1" x14ac:dyDescent="0.15">
      <c r="B19" s="197"/>
      <c r="C19" s="197"/>
      <c r="D19" s="197"/>
      <c r="E19" s="196"/>
      <c r="F19" s="196"/>
      <c r="G19" s="196"/>
    </row>
    <row r="20" spans="2:7" ht="20" customHeight="1" x14ac:dyDescent="0.15">
      <c r="B20" s="197"/>
      <c r="C20" s="197"/>
      <c r="D20" s="197"/>
      <c r="E20" s="196"/>
      <c r="F20" s="196"/>
      <c r="G20" s="196"/>
    </row>
    <row r="21" spans="2:7" ht="14" x14ac:dyDescent="0.15">
      <c r="B21" s="3"/>
      <c r="C21" s="3"/>
      <c r="D21" s="3"/>
      <c r="E21" s="3"/>
      <c r="F21" s="3"/>
      <c r="G21" s="3"/>
    </row>
    <row r="22" spans="2:7" ht="22" customHeight="1" x14ac:dyDescent="0.15">
      <c r="B22" s="194" t="s">
        <v>226</v>
      </c>
      <c r="C22" s="194"/>
      <c r="D22" s="194"/>
      <c r="E22" s="194" t="s">
        <v>4</v>
      </c>
      <c r="F22" s="194"/>
      <c r="G22" s="194"/>
    </row>
    <row r="23" spans="2:7" ht="32" customHeight="1" x14ac:dyDescent="0.15">
      <c r="B23" s="197" t="s">
        <v>227</v>
      </c>
      <c r="C23" s="197"/>
      <c r="D23" s="197"/>
      <c r="E23" s="195" t="s">
        <v>228</v>
      </c>
      <c r="F23" s="195"/>
      <c r="G23" s="195"/>
    </row>
    <row r="24" spans="2:7" ht="32" customHeight="1" x14ac:dyDescent="0.15">
      <c r="B24" s="197"/>
      <c r="C24" s="197"/>
      <c r="D24" s="197"/>
      <c r="E24" s="195"/>
      <c r="F24" s="195"/>
      <c r="G24" s="195"/>
    </row>
    <row r="25" spans="2:7" ht="32" customHeight="1" x14ac:dyDescent="0.15">
      <c r="B25" s="197"/>
      <c r="C25" s="197"/>
      <c r="D25" s="197"/>
      <c r="E25" s="195"/>
      <c r="F25" s="195"/>
      <c r="G25" s="195"/>
    </row>
    <row r="26" spans="2:7" ht="32" customHeight="1" x14ac:dyDescent="0.15">
      <c r="B26" s="197"/>
      <c r="C26" s="197"/>
      <c r="D26" s="197"/>
      <c r="E26" s="195"/>
      <c r="F26" s="195"/>
      <c r="G26" s="195"/>
    </row>
    <row r="27" spans="2:7" ht="32" customHeight="1" x14ac:dyDescent="0.15">
      <c r="B27" s="197"/>
      <c r="C27" s="197"/>
      <c r="D27" s="197"/>
      <c r="E27" s="195"/>
      <c r="F27" s="195"/>
      <c r="G27" s="195"/>
    </row>
    <row r="28" spans="2:7" ht="32" customHeight="1" x14ac:dyDescent="0.15">
      <c r="B28" s="197"/>
      <c r="C28" s="197"/>
      <c r="D28" s="197"/>
      <c r="E28" s="195"/>
      <c r="F28" s="195"/>
      <c r="G28" s="195"/>
    </row>
    <row r="29" spans="2:7" ht="32" customHeight="1" x14ac:dyDescent="0.15">
      <c r="B29" s="197"/>
      <c r="C29" s="197"/>
      <c r="D29" s="197"/>
      <c r="E29" s="195"/>
      <c r="F29" s="195"/>
      <c r="G29" s="195"/>
    </row>
    <row r="30" spans="2:7" ht="32" customHeight="1" x14ac:dyDescent="0.15">
      <c r="B30" s="197"/>
      <c r="C30" s="197"/>
      <c r="D30" s="197"/>
      <c r="E30" s="195"/>
      <c r="F30" s="195"/>
      <c r="G30" s="195"/>
    </row>
    <row r="31" spans="2:7" ht="32" customHeight="1" x14ac:dyDescent="0.15">
      <c r="B31" s="197"/>
      <c r="C31" s="197"/>
      <c r="D31" s="197"/>
      <c r="E31" s="195"/>
      <c r="F31" s="195"/>
      <c r="G31" s="195"/>
    </row>
    <row r="32" spans="2:7" ht="14" x14ac:dyDescent="0.15">
      <c r="B32" s="3"/>
      <c r="C32" s="3"/>
      <c r="D32" s="3"/>
      <c r="E32" s="3"/>
      <c r="F32" s="3"/>
      <c r="G32" s="3"/>
    </row>
    <row r="33" spans="2:7" ht="22" customHeight="1" x14ac:dyDescent="0.15">
      <c r="B33" s="190" t="s">
        <v>229</v>
      </c>
      <c r="C33" s="190"/>
      <c r="D33" s="190"/>
      <c r="E33" s="190"/>
      <c r="F33" s="190"/>
      <c r="G33" s="190"/>
    </row>
    <row r="34" spans="2:7" ht="24" customHeight="1" x14ac:dyDescent="0.15">
      <c r="B34" s="198" t="s">
        <v>232</v>
      </c>
      <c r="C34" s="199"/>
      <c r="D34" s="199"/>
      <c r="E34" s="199"/>
      <c r="F34" s="199"/>
      <c r="G34" s="199"/>
    </row>
    <row r="35" spans="2:7" ht="24" customHeight="1" x14ac:dyDescent="0.15">
      <c r="B35" s="199"/>
      <c r="C35" s="199"/>
      <c r="D35" s="199"/>
      <c r="E35" s="199"/>
      <c r="F35" s="199"/>
      <c r="G35" s="199"/>
    </row>
    <row r="36" spans="2:7" ht="24" customHeight="1" x14ac:dyDescent="0.15">
      <c r="B36" s="199"/>
      <c r="C36" s="199"/>
      <c r="D36" s="199"/>
      <c r="E36" s="199"/>
      <c r="F36" s="199"/>
      <c r="G36" s="199"/>
    </row>
    <row r="37" spans="2:7" ht="24" customHeight="1" x14ac:dyDescent="0.15">
      <c r="B37" s="199"/>
      <c r="C37" s="199"/>
      <c r="D37" s="199"/>
      <c r="E37" s="199"/>
      <c r="F37" s="199"/>
      <c r="G37" s="199"/>
    </row>
    <row r="38" spans="2:7" ht="24" customHeight="1" x14ac:dyDescent="0.15">
      <c r="B38" s="199"/>
      <c r="C38" s="199"/>
      <c r="D38" s="199"/>
      <c r="E38" s="199"/>
      <c r="F38" s="199"/>
      <c r="G38" s="199"/>
    </row>
    <row r="39" spans="2:7" ht="24" customHeight="1" x14ac:dyDescent="0.15">
      <c r="B39" s="199"/>
      <c r="C39" s="199"/>
      <c r="D39" s="199"/>
      <c r="E39" s="199"/>
      <c r="F39" s="199"/>
      <c r="G39" s="199"/>
    </row>
    <row r="40" spans="2:7" ht="24" customHeight="1" x14ac:dyDescent="0.15">
      <c r="B40" s="199"/>
      <c r="C40" s="199"/>
      <c r="D40" s="199"/>
      <c r="E40" s="199"/>
      <c r="F40" s="199"/>
      <c r="G40" s="199"/>
    </row>
    <row r="41" spans="2:7" ht="24" customHeight="1" x14ac:dyDescent="0.15">
      <c r="B41" s="199"/>
      <c r="C41" s="199"/>
      <c r="D41" s="199"/>
      <c r="E41" s="199"/>
      <c r="F41" s="199"/>
      <c r="G41" s="199"/>
    </row>
    <row r="42" spans="2:7" ht="24" customHeight="1" x14ac:dyDescent="0.15">
      <c r="B42" s="199"/>
      <c r="C42" s="199"/>
      <c r="D42" s="199"/>
      <c r="E42" s="199"/>
      <c r="F42" s="199"/>
      <c r="G42" s="199"/>
    </row>
    <row r="43" spans="2:7" ht="24" customHeight="1" x14ac:dyDescent="0.15">
      <c r="B43" s="199"/>
      <c r="C43" s="199"/>
      <c r="D43" s="199"/>
      <c r="E43" s="199"/>
      <c r="F43" s="199"/>
      <c r="G43" s="199"/>
    </row>
    <row r="44" spans="2:7" ht="24" customHeight="1" x14ac:dyDescent="0.15">
      <c r="B44" s="199"/>
      <c r="C44" s="199"/>
      <c r="D44" s="199"/>
      <c r="E44" s="199"/>
      <c r="F44" s="199"/>
      <c r="G44" s="199"/>
    </row>
    <row r="45" spans="2:7" ht="14" customHeight="1" x14ac:dyDescent="0.15">
      <c r="B45" s="1"/>
      <c r="C45" s="1"/>
      <c r="D45" s="1"/>
      <c r="E45" s="1"/>
      <c r="F45" s="1"/>
      <c r="G45" s="1"/>
    </row>
    <row r="46" spans="2:7" ht="22" customHeight="1" x14ac:dyDescent="0.15">
      <c r="B46" s="200" t="s">
        <v>5</v>
      </c>
      <c r="C46" s="200"/>
      <c r="D46" s="200"/>
      <c r="E46" s="200"/>
      <c r="F46" s="200"/>
      <c r="G46" s="200"/>
    </row>
    <row r="47" spans="2:7" ht="19" customHeight="1" x14ac:dyDescent="0.15">
      <c r="B47" s="191" t="s">
        <v>230</v>
      </c>
      <c r="C47" s="191"/>
      <c r="D47" s="191"/>
      <c r="E47" s="191"/>
      <c r="F47" s="191"/>
      <c r="G47" s="191"/>
    </row>
    <row r="48" spans="2:7" ht="19" customHeight="1" x14ac:dyDescent="0.15">
      <c r="B48" s="191"/>
      <c r="C48" s="191"/>
      <c r="D48" s="191"/>
      <c r="E48" s="191"/>
      <c r="F48" s="191"/>
      <c r="G48" s="191"/>
    </row>
    <row r="49" spans="2:7" ht="19" customHeight="1" x14ac:dyDescent="0.15">
      <c r="B49" s="191"/>
      <c r="C49" s="191"/>
      <c r="D49" s="191"/>
      <c r="E49" s="191"/>
      <c r="F49" s="191"/>
      <c r="G49" s="191"/>
    </row>
    <row r="50" spans="2:7" ht="19" customHeight="1" x14ac:dyDescent="0.15">
      <c r="B50" s="191"/>
      <c r="C50" s="191"/>
      <c r="D50" s="191"/>
      <c r="E50" s="191"/>
      <c r="F50" s="191"/>
      <c r="G50" s="191"/>
    </row>
    <row r="51" spans="2:7" ht="19" customHeight="1" x14ac:dyDescent="0.15">
      <c r="B51" s="191"/>
      <c r="C51" s="191"/>
      <c r="D51" s="191"/>
      <c r="E51" s="191"/>
      <c r="F51" s="191"/>
      <c r="G51" s="191"/>
    </row>
    <row r="52" spans="2:7" ht="19" customHeight="1" x14ac:dyDescent="0.15">
      <c r="B52" s="191"/>
      <c r="C52" s="191"/>
      <c r="D52" s="191"/>
      <c r="E52" s="191"/>
      <c r="F52" s="191"/>
      <c r="G52" s="191"/>
    </row>
    <row r="53" spans="2:7" ht="19" customHeight="1" x14ac:dyDescent="0.15">
      <c r="B53" s="191"/>
      <c r="C53" s="191"/>
      <c r="D53" s="191"/>
      <c r="E53" s="191"/>
      <c r="F53" s="191"/>
      <c r="G53" s="191"/>
    </row>
    <row r="54" spans="2:7" ht="19" customHeight="1" x14ac:dyDescent="0.15">
      <c r="B54" s="191"/>
      <c r="C54" s="191"/>
      <c r="D54" s="191"/>
      <c r="E54" s="191"/>
      <c r="F54" s="191"/>
      <c r="G54" s="191"/>
    </row>
    <row r="55" spans="2:7" ht="19" customHeight="1" x14ac:dyDescent="0.15">
      <c r="B55" s="191"/>
      <c r="C55" s="191"/>
      <c r="D55" s="191"/>
      <c r="E55" s="191"/>
      <c r="F55" s="191"/>
      <c r="G55" s="191"/>
    </row>
    <row r="56" spans="2:7" ht="19" customHeight="1" x14ac:dyDescent="0.15">
      <c r="B56" s="191"/>
      <c r="C56" s="191"/>
      <c r="D56" s="191"/>
      <c r="E56" s="191"/>
      <c r="F56" s="191"/>
      <c r="G56" s="191"/>
    </row>
    <row r="57" spans="2:7" ht="14" customHeight="1" x14ac:dyDescent="0.15"/>
    <row r="58" spans="2:7" ht="22" customHeight="1" x14ac:dyDescent="0.15">
      <c r="B58" s="190" t="s">
        <v>6</v>
      </c>
      <c r="C58" s="190"/>
      <c r="D58" s="190"/>
      <c r="E58" s="190"/>
      <c r="F58" s="190"/>
      <c r="G58" s="190"/>
    </row>
    <row r="59" spans="2:7" ht="22" customHeight="1" x14ac:dyDescent="0.15">
      <c r="B59" s="191" t="s">
        <v>233</v>
      </c>
      <c r="C59" s="191"/>
      <c r="D59" s="191"/>
      <c r="E59" s="191"/>
      <c r="F59" s="191"/>
      <c r="G59" s="191"/>
    </row>
    <row r="60" spans="2:7" ht="22" customHeight="1" x14ac:dyDescent="0.15">
      <c r="B60" s="191"/>
      <c r="C60" s="191"/>
      <c r="D60" s="191"/>
      <c r="E60" s="191"/>
      <c r="F60" s="191"/>
      <c r="G60" s="191"/>
    </row>
    <row r="61" spans="2:7" ht="22" customHeight="1" x14ac:dyDescent="0.15">
      <c r="B61" s="191"/>
      <c r="C61" s="191"/>
      <c r="D61" s="191"/>
      <c r="E61" s="191"/>
      <c r="F61" s="191"/>
      <c r="G61" s="191"/>
    </row>
    <row r="62" spans="2:7" ht="22" customHeight="1" x14ac:dyDescent="0.15">
      <c r="B62" s="191"/>
      <c r="C62" s="191"/>
      <c r="D62" s="191"/>
      <c r="E62" s="191"/>
      <c r="F62" s="191"/>
      <c r="G62" s="191"/>
    </row>
    <row r="63" spans="2:7" ht="22" customHeight="1" x14ac:dyDescent="0.15">
      <c r="B63" s="191"/>
      <c r="C63" s="191"/>
      <c r="D63" s="191"/>
      <c r="E63" s="191"/>
      <c r="F63" s="191"/>
      <c r="G63" s="191"/>
    </row>
    <row r="64" spans="2:7" ht="22" customHeight="1" x14ac:dyDescent="0.15">
      <c r="B64" s="191"/>
      <c r="C64" s="191"/>
      <c r="D64" s="191"/>
      <c r="E64" s="191"/>
      <c r="F64" s="191"/>
      <c r="G64" s="191"/>
    </row>
    <row r="65" spans="2:7" ht="22" customHeight="1" x14ac:dyDescent="0.15">
      <c r="B65" s="191"/>
      <c r="C65" s="191"/>
      <c r="D65" s="191"/>
      <c r="E65" s="191"/>
      <c r="F65" s="191"/>
      <c r="G65" s="191"/>
    </row>
    <row r="66" spans="2:7" ht="22" customHeight="1" x14ac:dyDescent="0.15">
      <c r="B66" s="191"/>
      <c r="C66" s="191"/>
      <c r="D66" s="191"/>
      <c r="E66" s="191"/>
      <c r="F66" s="191"/>
      <c r="G66" s="191"/>
    </row>
    <row r="67" spans="2:7" ht="14" customHeight="1" x14ac:dyDescent="0.15"/>
    <row r="68" spans="2:7" ht="22" customHeight="1" x14ac:dyDescent="0.15">
      <c r="B68" s="190" t="s">
        <v>234</v>
      </c>
      <c r="C68" s="190"/>
      <c r="D68" s="190"/>
      <c r="E68" s="190"/>
      <c r="F68" s="190"/>
      <c r="G68" s="190"/>
    </row>
    <row r="69" spans="2:7" ht="38" customHeight="1" x14ac:dyDescent="0.15">
      <c r="B69" s="191" t="s">
        <v>235</v>
      </c>
      <c r="C69" s="191"/>
      <c r="D69" s="191"/>
      <c r="E69" s="191"/>
      <c r="F69" s="191"/>
      <c r="G69" s="191"/>
    </row>
    <row r="70" spans="2:7" ht="38" customHeight="1" x14ac:dyDescent="0.15">
      <c r="B70" s="191"/>
      <c r="C70" s="191"/>
      <c r="D70" s="191"/>
      <c r="E70" s="191"/>
      <c r="F70" s="191"/>
      <c r="G70" s="191"/>
    </row>
    <row r="71" spans="2:7" ht="38" customHeight="1" x14ac:dyDescent="0.15">
      <c r="B71" s="191"/>
      <c r="C71" s="191"/>
      <c r="D71" s="191"/>
      <c r="E71" s="191"/>
      <c r="F71" s="191"/>
      <c r="G71" s="191"/>
    </row>
    <row r="72" spans="2:7" ht="38" customHeight="1" x14ac:dyDescent="0.15">
      <c r="B72" s="191"/>
      <c r="C72" s="191"/>
      <c r="D72" s="191"/>
      <c r="E72" s="191"/>
      <c r="F72" s="191"/>
      <c r="G72" s="191"/>
    </row>
    <row r="73" spans="2:7" ht="38" customHeight="1" x14ac:dyDescent="0.15">
      <c r="B73" s="191"/>
      <c r="C73" s="191"/>
      <c r="D73" s="191"/>
      <c r="E73" s="191"/>
      <c r="F73" s="191"/>
      <c r="G73" s="191"/>
    </row>
    <row r="74" spans="2:7" ht="38" customHeight="1" x14ac:dyDescent="0.15">
      <c r="B74" s="191"/>
      <c r="C74" s="191"/>
      <c r="D74" s="191"/>
      <c r="E74" s="191"/>
      <c r="F74" s="191"/>
      <c r="G74" s="191"/>
    </row>
  </sheetData>
  <mergeCells count="22">
    <mergeCell ref="B59:G66"/>
    <mergeCell ref="B23:D31"/>
    <mergeCell ref="E23:G31"/>
    <mergeCell ref="B33:G33"/>
    <mergeCell ref="B34:G44"/>
    <mergeCell ref="B46:G46"/>
    <mergeCell ref="B68:G68"/>
    <mergeCell ref="B69:G74"/>
    <mergeCell ref="B1:G1"/>
    <mergeCell ref="B2:G2"/>
    <mergeCell ref="B4:D4"/>
    <mergeCell ref="E4:G4"/>
    <mergeCell ref="B5:D10"/>
    <mergeCell ref="E5:G10"/>
    <mergeCell ref="B12:D12"/>
    <mergeCell ref="E12:G12"/>
    <mergeCell ref="B13:D20"/>
    <mergeCell ref="E13:G20"/>
    <mergeCell ref="B22:D22"/>
    <mergeCell ref="E22:G22"/>
    <mergeCell ref="B47:G56"/>
    <mergeCell ref="B58:G58"/>
  </mergeCells>
  <printOptions horizontalCentered="1"/>
  <pageMargins left="0.35" right="0.35" top="0.45" bottom="0.45" header="0.2" footer="0.2"/>
  <pageSetup fitToHeight="0" orientation="landscape"/>
  <headerFooter differentOddEven="1">
    <oddFooter>&amp;LRead Me First | Revised Fall 2026 LBO Model&amp;CPage &amp;P of &amp;N&amp;RStudent instructions</oddFooter>
    <evenFooter>&amp;LRead Me First | Revised Fall 2026 LBO Model&amp;CPage &amp;P of &amp;N&amp;RStudent instructions</evenFooter>
  </headerFooter>
  <rowBreaks count="3" manualBreakCount="3">
    <brk id="20" max="16383" man="1"/>
    <brk id="44" max="16383" man="1"/>
    <brk id="6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fitToPage="1"/>
  </sheetPr>
  <dimension ref="A1:O226"/>
  <sheetViews>
    <sheetView showGridLines="0" tabSelected="1" zoomScale="130" zoomScaleNormal="130" workbookViewId="0">
      <pane xSplit="2" ySplit="3" topLeftCell="C4" activePane="bottomRight" state="frozen"/>
      <selection pane="topRight"/>
      <selection pane="bottomLeft"/>
      <selection pane="bottomRight" activeCell="L12" sqref="L12"/>
    </sheetView>
  </sheetViews>
  <sheetFormatPr baseColWidth="10" defaultColWidth="15.6640625" defaultRowHeight="14" x14ac:dyDescent="0.15"/>
  <cols>
    <col min="1" max="1" width="2.1640625" style="4" customWidth="1"/>
    <col min="2" max="2" width="44.1640625" style="4" customWidth="1"/>
    <col min="3" max="5" width="15.6640625" style="4"/>
    <col min="6" max="6" width="18" customWidth="1"/>
    <col min="7" max="16384" width="15.6640625" style="4"/>
  </cols>
  <sheetData>
    <row r="1" spans="1:15" ht="26" customHeight="1" x14ac:dyDescent="0.15">
      <c r="A1" s="180" t="s">
        <v>220</v>
      </c>
      <c r="B1" s="180"/>
      <c r="C1" s="180"/>
      <c r="D1" s="180"/>
      <c r="E1" s="180"/>
      <c r="F1" s="180"/>
      <c r="G1" s="181" t="s">
        <v>7</v>
      </c>
      <c r="H1" s="181"/>
      <c r="I1" s="182" t="str">
        <f ca="1">G217</f>
        <v>PASS</v>
      </c>
      <c r="J1" s="182"/>
      <c r="K1" s="182"/>
    </row>
    <row r="2" spans="1:15" ht="15" customHeight="1" x14ac:dyDescent="0.15">
      <c r="A2" s="183" t="s">
        <v>8</v>
      </c>
      <c r="B2" s="184"/>
      <c r="C2" s="29" t="str">
        <f>""</f>
        <v/>
      </c>
      <c r="D2" s="29">
        <f>$K$11-2</f>
        <v>2024</v>
      </c>
      <c r="E2" s="29">
        <f t="shared" ref="E2:K2" si="0">D2+1</f>
        <v>2025</v>
      </c>
      <c r="F2" s="29">
        <f t="shared" si="0"/>
        <v>2026</v>
      </c>
      <c r="G2" s="173">
        <f t="shared" si="0"/>
        <v>2027</v>
      </c>
      <c r="H2" s="29">
        <f t="shared" si="0"/>
        <v>2028</v>
      </c>
      <c r="I2" s="29">
        <f t="shared" si="0"/>
        <v>2029</v>
      </c>
      <c r="J2" s="29">
        <f t="shared" si="0"/>
        <v>2030</v>
      </c>
      <c r="K2" s="29">
        <f t="shared" si="0"/>
        <v>2031</v>
      </c>
    </row>
    <row r="3" spans="1:15" ht="15" customHeight="1" x14ac:dyDescent="0.15">
      <c r="C3" s="29" t="str">
        <f>""</f>
        <v/>
      </c>
      <c r="D3" s="29" t="str">
        <f t="shared" ref="D3:K3" si="1">IF(D$2&lt;=$K$11,"A","E")</f>
        <v>A</v>
      </c>
      <c r="E3" s="29" t="str">
        <f t="shared" si="1"/>
        <v>A</v>
      </c>
      <c r="F3" s="29" t="str">
        <f t="shared" si="1"/>
        <v>A</v>
      </c>
      <c r="G3" s="29" t="str">
        <f t="shared" si="1"/>
        <v>E</v>
      </c>
      <c r="H3" s="29" t="str">
        <f t="shared" si="1"/>
        <v>E</v>
      </c>
      <c r="I3" s="29" t="str">
        <f t="shared" si="1"/>
        <v>E</v>
      </c>
      <c r="J3" s="29" t="str">
        <f t="shared" si="1"/>
        <v>E</v>
      </c>
      <c r="K3" s="29" t="str">
        <f t="shared" si="1"/>
        <v>E</v>
      </c>
    </row>
    <row r="4" spans="1:15" ht="15" customHeight="1" x14ac:dyDescent="0.15"/>
    <row r="5" spans="1:15" ht="15" customHeight="1" x14ac:dyDescent="0.15">
      <c r="B5" s="30" t="s">
        <v>9</v>
      </c>
      <c r="C5" s="30"/>
      <c r="D5" s="30"/>
      <c r="E5" s="30"/>
      <c r="F5" s="30"/>
      <c r="G5" s="30"/>
      <c r="H5" s="30"/>
      <c r="I5" s="30"/>
      <c r="J5" s="30"/>
      <c r="K5" s="30"/>
    </row>
    <row r="6" spans="1:15" ht="15" customHeight="1" x14ac:dyDescent="0.15"/>
    <row r="7" spans="1:15" ht="15" customHeight="1" x14ac:dyDescent="0.15">
      <c r="B7" s="31" t="s">
        <v>10</v>
      </c>
      <c r="C7" s="32"/>
      <c r="E7" s="33" t="s">
        <v>11</v>
      </c>
      <c r="F7" s="34"/>
      <c r="G7" s="35"/>
      <c r="I7" s="33" t="s">
        <v>12</v>
      </c>
      <c r="J7" s="34"/>
      <c r="K7" s="35"/>
    </row>
    <row r="8" spans="1:15" ht="15" customHeight="1" x14ac:dyDescent="0.15">
      <c r="B8" s="36" t="s">
        <v>13</v>
      </c>
      <c r="C8" s="37" t="s">
        <v>14</v>
      </c>
      <c r="E8" s="36" t="s">
        <v>15</v>
      </c>
      <c r="G8" s="38">
        <v>300</v>
      </c>
      <c r="I8" s="36" t="s">
        <v>16</v>
      </c>
      <c r="K8" s="174">
        <f>K$2</f>
        <v>2031</v>
      </c>
    </row>
    <row r="9" spans="1:15" ht="15" customHeight="1" x14ac:dyDescent="0.15">
      <c r="B9" s="36" t="s">
        <v>17</v>
      </c>
      <c r="C9" s="37" t="s">
        <v>18</v>
      </c>
      <c r="E9" s="36" t="s">
        <v>19</v>
      </c>
      <c r="G9" s="39">
        <v>0.01</v>
      </c>
      <c r="I9" s="36" t="s">
        <v>20</v>
      </c>
      <c r="K9" s="40">
        <v>10</v>
      </c>
    </row>
    <row r="10" spans="1:15" ht="15" customHeight="1" x14ac:dyDescent="0.15">
      <c r="B10" s="41" t="s">
        <v>21</v>
      </c>
      <c r="C10" s="42">
        <v>16.25</v>
      </c>
      <c r="E10" s="36" t="s">
        <v>22</v>
      </c>
      <c r="G10" s="39">
        <v>0</v>
      </c>
      <c r="I10" s="43" t="s">
        <v>23</v>
      </c>
      <c r="J10" s="44"/>
      <c r="K10" s="45">
        <v>0.03</v>
      </c>
    </row>
    <row r="11" spans="1:15" ht="15" customHeight="1" x14ac:dyDescent="0.15">
      <c r="B11" s="41" t="s">
        <v>24</v>
      </c>
      <c r="C11" s="39">
        <v>0.2</v>
      </c>
      <c r="E11" s="43" t="s">
        <v>25</v>
      </c>
      <c r="F11" s="44"/>
      <c r="G11" s="45">
        <v>0</v>
      </c>
      <c r="I11" s="185" t="s">
        <v>26</v>
      </c>
      <c r="J11" s="185"/>
      <c r="K11" s="5">
        <v>2026</v>
      </c>
    </row>
    <row r="12" spans="1:15" ht="15" customHeight="1" x14ac:dyDescent="0.15">
      <c r="B12" s="46" t="s">
        <v>218</v>
      </c>
      <c r="C12" s="47">
        <f>+C10*(1+C11)</f>
        <v>19.5</v>
      </c>
      <c r="I12" s="33" t="s">
        <v>27</v>
      </c>
      <c r="J12" s="34"/>
      <c r="K12" s="35"/>
    </row>
    <row r="13" spans="1:15" ht="15" customHeight="1" x14ac:dyDescent="0.15">
      <c r="B13" s="41" t="s">
        <v>28</v>
      </c>
      <c r="C13" s="48">
        <v>61.025641025641001</v>
      </c>
      <c r="E13" s="33" t="s">
        <v>29</v>
      </c>
      <c r="F13" s="34"/>
      <c r="G13" s="35"/>
      <c r="I13" s="43" t="str">
        <f>"Controlled Circularity "&amp;IF(K13=1,"On","Off")</f>
        <v>Controlled Circularity On</v>
      </c>
      <c r="J13" s="44"/>
      <c r="K13" s="49">
        <v>1</v>
      </c>
      <c r="O13" s="28"/>
    </row>
    <row r="14" spans="1:15" ht="15" customHeight="1" x14ac:dyDescent="0.15">
      <c r="B14" s="50" t="s">
        <v>30</v>
      </c>
      <c r="C14" s="51">
        <f>+C12*C13</f>
        <v>1189.9999999999995</v>
      </c>
      <c r="E14" s="41" t="s">
        <v>31</v>
      </c>
      <c r="G14" s="39">
        <v>0.04</v>
      </c>
      <c r="I14" s="185" t="s">
        <v>32</v>
      </c>
      <c r="J14" s="185"/>
      <c r="K14" s="5">
        <v>12</v>
      </c>
      <c r="O14" s="28"/>
    </row>
    <row r="15" spans="1:15" ht="15" customHeight="1" x14ac:dyDescent="0.15">
      <c r="B15" s="41" t="s">
        <v>33</v>
      </c>
      <c r="C15" s="48">
        <v>25</v>
      </c>
      <c r="E15" s="41" t="s">
        <v>34</v>
      </c>
      <c r="G15" s="39">
        <v>0.21</v>
      </c>
      <c r="I15" s="185" t="s">
        <v>35</v>
      </c>
      <c r="J15" s="185"/>
      <c r="K15" s="5">
        <v>31</v>
      </c>
    </row>
    <row r="16" spans="1:15" ht="15" customHeight="1" x14ac:dyDescent="0.15">
      <c r="B16" s="41" t="s">
        <v>36</v>
      </c>
      <c r="C16" s="48">
        <v>0</v>
      </c>
      <c r="E16" s="46" t="s">
        <v>37</v>
      </c>
      <c r="F16" s="52"/>
      <c r="G16" s="53">
        <f>+SUM(G14:G15)</f>
        <v>0.25</v>
      </c>
    </row>
    <row r="17" spans="2:11" ht="15" customHeight="1" x14ac:dyDescent="0.15">
      <c r="B17" s="41" t="s">
        <v>38</v>
      </c>
      <c r="C17" s="48">
        <v>-15</v>
      </c>
      <c r="E17" s="43" t="s">
        <v>39</v>
      </c>
      <c r="F17" s="44"/>
      <c r="G17" s="54">
        <v>10</v>
      </c>
    </row>
    <row r="18" spans="2:11" ht="15" customHeight="1" x14ac:dyDescent="0.15">
      <c r="B18" s="50" t="s">
        <v>40</v>
      </c>
      <c r="C18" s="51">
        <f>+SUM(C14:C17)</f>
        <v>1199.9999999999995</v>
      </c>
    </row>
    <row r="19" spans="2:11" ht="15" customHeight="1" x14ac:dyDescent="0.15">
      <c r="B19" s="41" t="s">
        <v>41</v>
      </c>
      <c r="C19" s="38">
        <v>120</v>
      </c>
    </row>
    <row r="20" spans="2:11" ht="15" customHeight="1" x14ac:dyDescent="0.15">
      <c r="B20" s="55" t="s">
        <v>42</v>
      </c>
      <c r="C20" s="175">
        <f>+C18/C19</f>
        <v>9.9999999999999964</v>
      </c>
    </row>
    <row r="22" spans="2:11" ht="15" customHeight="1" x14ac:dyDescent="0.15">
      <c r="B22" s="30" t="s">
        <v>43</v>
      </c>
      <c r="C22" s="30"/>
      <c r="D22" s="30"/>
      <c r="E22" s="30"/>
      <c r="F22" s="30"/>
      <c r="G22" s="30"/>
      <c r="H22" s="30"/>
      <c r="I22" s="30"/>
      <c r="J22" s="30"/>
      <c r="K22" s="30"/>
    </row>
    <row r="24" spans="2:11" ht="15" customHeight="1" x14ac:dyDescent="0.15">
      <c r="B24" s="56" t="s">
        <v>44</v>
      </c>
      <c r="C24" s="57" t="s">
        <v>45</v>
      </c>
      <c r="D24" s="57" t="s">
        <v>46</v>
      </c>
      <c r="E24" s="57" t="s">
        <v>47</v>
      </c>
      <c r="F24" s="57" t="s">
        <v>48</v>
      </c>
      <c r="G24" s="57" t="s">
        <v>49</v>
      </c>
      <c r="H24" s="57" t="s">
        <v>50</v>
      </c>
      <c r="I24" s="57" t="s">
        <v>51</v>
      </c>
      <c r="J24" s="57" t="s">
        <v>52</v>
      </c>
      <c r="K24" s="57" t="s">
        <v>53</v>
      </c>
    </row>
    <row r="25" spans="2:11" ht="15" customHeight="1" x14ac:dyDescent="0.15">
      <c r="B25" s="58" t="str">
        <f>+"New Revolving Credit Facility ($"&amp;G8&amp;")"</f>
        <v>New Revolving Credit Facility ($300)</v>
      </c>
      <c r="C25" s="59">
        <v>0</v>
      </c>
      <c r="D25" s="60">
        <f>+C25/$C$19</f>
        <v>0</v>
      </c>
      <c r="E25" s="61">
        <v>0</v>
      </c>
      <c r="F25" s="62">
        <v>5</v>
      </c>
      <c r="G25" s="63">
        <v>350</v>
      </c>
      <c r="H25" s="61">
        <v>0</v>
      </c>
      <c r="I25" s="64">
        <f>+$C25*H25</f>
        <v>0</v>
      </c>
      <c r="J25" s="61">
        <v>1.2500000000000001E-2</v>
      </c>
      <c r="K25" s="64">
        <f>+$G8*J25</f>
        <v>3.75</v>
      </c>
    </row>
    <row r="26" spans="2:11" ht="15" customHeight="1" x14ac:dyDescent="0.15">
      <c r="B26" s="58" t="s">
        <v>54</v>
      </c>
      <c r="C26" s="65">
        <v>480</v>
      </c>
      <c r="D26" s="60">
        <f>+C26/$C$19</f>
        <v>4</v>
      </c>
      <c r="E26" s="61">
        <v>0.01</v>
      </c>
      <c r="F26" s="62">
        <v>7</v>
      </c>
      <c r="G26" s="63">
        <v>375</v>
      </c>
      <c r="H26" s="61">
        <v>0.01</v>
      </c>
      <c r="I26" s="64">
        <f>+$C26*H26</f>
        <v>4.8</v>
      </c>
      <c r="J26" s="61">
        <v>2.2499999999999999E-2</v>
      </c>
      <c r="K26" s="64">
        <f>+$C26*J26</f>
        <v>10.799999999999999</v>
      </c>
    </row>
    <row r="27" spans="2:11" ht="15" customHeight="1" x14ac:dyDescent="0.15">
      <c r="B27" s="58" t="s">
        <v>55</v>
      </c>
      <c r="C27" s="65">
        <v>355</v>
      </c>
      <c r="D27" s="60">
        <f>+C27/$C$19</f>
        <v>2.9583333333333335</v>
      </c>
      <c r="E27" s="61">
        <v>0</v>
      </c>
      <c r="F27" s="62">
        <v>8</v>
      </c>
      <c r="G27" s="61">
        <v>7.4999999999999997E-2</v>
      </c>
      <c r="H27" s="61">
        <v>0</v>
      </c>
      <c r="I27" s="64">
        <f>+$C27*H27</f>
        <v>0</v>
      </c>
      <c r="J27" s="61">
        <v>0.03</v>
      </c>
      <c r="K27" s="64">
        <f>+$C27*J27</f>
        <v>10.65</v>
      </c>
    </row>
    <row r="28" spans="2:11" ht="15" customHeight="1" x14ac:dyDescent="0.15">
      <c r="B28" s="58" t="s">
        <v>56</v>
      </c>
      <c r="C28" s="64">
        <f>+C17*-1</f>
        <v>15</v>
      </c>
      <c r="D28" s="60">
        <f>+C28/$C$19</f>
        <v>0.125</v>
      </c>
      <c r="E28" s="66"/>
      <c r="H28" s="67"/>
      <c r="I28" s="64"/>
      <c r="J28" s="67"/>
      <c r="K28" s="64"/>
    </row>
    <row r="29" spans="2:11" ht="15" customHeight="1" x14ac:dyDescent="0.15">
      <c r="B29" s="58" t="s">
        <v>57</v>
      </c>
      <c r="C29" s="64">
        <f>+C38-SUM(C25:C28)</f>
        <v>412.49999999999955</v>
      </c>
      <c r="D29" s="60">
        <f>+C29/$C$19</f>
        <v>3.437499999999996</v>
      </c>
      <c r="E29" s="66"/>
      <c r="H29" s="67"/>
      <c r="I29" s="64"/>
      <c r="J29" s="67"/>
      <c r="K29" s="64"/>
    </row>
    <row r="30" spans="2:11" ht="15" customHeight="1" x14ac:dyDescent="0.15">
      <c r="B30" s="52" t="s">
        <v>58</v>
      </c>
      <c r="C30" s="68">
        <f>+SUM(C25:C29)</f>
        <v>1262.4999999999995</v>
      </c>
      <c r="D30" s="69">
        <f>+SUM(D25:D29)</f>
        <v>10.52083333333333</v>
      </c>
      <c r="E30" s="70"/>
      <c r="F30" s="52"/>
      <c r="G30" s="52"/>
      <c r="H30" s="71"/>
      <c r="I30" s="72">
        <f>+SUM(I25:I29)</f>
        <v>4.8</v>
      </c>
      <c r="J30" s="72"/>
      <c r="K30" s="72">
        <f>+SUM(K25:K29)</f>
        <v>25.2</v>
      </c>
    </row>
    <row r="32" spans="2:11" ht="15" customHeight="1" x14ac:dyDescent="0.15">
      <c r="B32" s="56" t="s">
        <v>59</v>
      </c>
      <c r="C32" s="57" t="s">
        <v>45</v>
      </c>
      <c r="D32" s="57" t="s">
        <v>46</v>
      </c>
    </row>
    <row r="33" spans="2:11" ht="15" customHeight="1" x14ac:dyDescent="0.15">
      <c r="B33" s="58" t="s">
        <v>60</v>
      </c>
      <c r="C33" s="73">
        <f>+C14</f>
        <v>1189.9999999999995</v>
      </c>
      <c r="D33" s="60">
        <f>+C33/$C$19</f>
        <v>9.9166666666666625</v>
      </c>
    </row>
    <row r="34" spans="2:11" ht="15" customHeight="1" x14ac:dyDescent="0.15">
      <c r="B34" s="58" t="s">
        <v>61</v>
      </c>
      <c r="C34" s="74">
        <f>+SUM(C15:C16)</f>
        <v>25</v>
      </c>
      <c r="D34" s="60">
        <f>+C34/$C$19</f>
        <v>0.20833333333333334</v>
      </c>
    </row>
    <row r="35" spans="2:11" ht="15" customHeight="1" x14ac:dyDescent="0.15">
      <c r="B35" s="58" t="s">
        <v>62</v>
      </c>
      <c r="C35" s="74">
        <f>+G17</f>
        <v>10</v>
      </c>
      <c r="D35" s="60">
        <f>+C35/$C$19</f>
        <v>8.3333333333333329E-2</v>
      </c>
    </row>
    <row r="36" spans="2:11" ht="15" customHeight="1" x14ac:dyDescent="0.15">
      <c r="B36" s="58" t="s">
        <v>63</v>
      </c>
      <c r="C36" s="65">
        <v>7.5</v>
      </c>
      <c r="D36" s="60">
        <f>+C36/$C$19</f>
        <v>6.25E-2</v>
      </c>
    </row>
    <row r="37" spans="2:11" ht="15" customHeight="1" x14ac:dyDescent="0.15">
      <c r="B37" s="58" t="s">
        <v>64</v>
      </c>
      <c r="C37" s="64">
        <f>+SUM(I30,K30)</f>
        <v>30</v>
      </c>
      <c r="D37" s="60">
        <f>+C37/$C$19</f>
        <v>0.25</v>
      </c>
      <c r="E37" s="29" t="s">
        <v>65</v>
      </c>
    </row>
    <row r="38" spans="2:11" ht="15" customHeight="1" x14ac:dyDescent="0.15">
      <c r="B38" s="52" t="s">
        <v>66</v>
      </c>
      <c r="C38" s="68">
        <f>+SUM(C33:C37)</f>
        <v>1262.4999999999995</v>
      </c>
      <c r="D38" s="69">
        <f>+SUM(D33:D37)</f>
        <v>10.52083333333333</v>
      </c>
      <c r="E38" s="75" t="str">
        <f>IF(ABS(C38-C30)&lt;=0.01,"YES","NO")</f>
        <v>YES</v>
      </c>
    </row>
    <row r="40" spans="2:11" ht="15" customHeight="1" x14ac:dyDescent="0.15">
      <c r="B40" s="30" t="s">
        <v>67</v>
      </c>
      <c r="C40" s="30"/>
      <c r="D40" s="30"/>
      <c r="E40" s="30"/>
      <c r="F40" s="30"/>
      <c r="G40" s="30"/>
      <c r="H40" s="30"/>
      <c r="I40" s="30"/>
      <c r="J40" s="30"/>
      <c r="K40" s="30"/>
    </row>
    <row r="42" spans="2:11" ht="15" customHeight="1" x14ac:dyDescent="0.15">
      <c r="B42" s="76" t="s">
        <v>68</v>
      </c>
      <c r="C42" s="77"/>
      <c r="D42" s="77"/>
      <c r="E42" s="77"/>
      <c r="F42" s="77"/>
      <c r="G42" s="77"/>
      <c r="H42" s="77"/>
      <c r="I42" s="77"/>
      <c r="J42" s="77"/>
      <c r="K42" s="78"/>
    </row>
    <row r="43" spans="2:11" ht="15" customHeight="1" x14ac:dyDescent="0.15">
      <c r="B43" s="79"/>
      <c r="G43" s="79"/>
      <c r="K43" s="80"/>
    </row>
    <row r="44" spans="2:11" ht="15" customHeight="1" x14ac:dyDescent="0.15">
      <c r="B44" s="79"/>
      <c r="C44" s="81" t="str">
        <f>""</f>
        <v/>
      </c>
      <c r="D44" s="81" t="str">
        <f t="shared" ref="D44:K44" si="2">D$2&amp;D$3</f>
        <v>2024A</v>
      </c>
      <c r="E44" s="81" t="str">
        <f t="shared" si="2"/>
        <v>2025A</v>
      </c>
      <c r="F44" s="81" t="str">
        <f t="shared" si="2"/>
        <v>2026A</v>
      </c>
      <c r="G44" s="82" t="str">
        <f t="shared" si="2"/>
        <v>2027E</v>
      </c>
      <c r="H44" s="81" t="str">
        <f t="shared" si="2"/>
        <v>2028E</v>
      </c>
      <c r="I44" s="81" t="str">
        <f t="shared" si="2"/>
        <v>2029E</v>
      </c>
      <c r="J44" s="81" t="str">
        <f t="shared" si="2"/>
        <v>2030E</v>
      </c>
      <c r="K44" s="83" t="str">
        <f t="shared" si="2"/>
        <v>2031E</v>
      </c>
    </row>
    <row r="45" spans="2:11" ht="15" customHeight="1" x14ac:dyDescent="0.15">
      <c r="B45" s="84" t="s">
        <v>69</v>
      </c>
      <c r="C45" s="85" t="str">
        <f>""</f>
        <v/>
      </c>
      <c r="D45" s="86" t="str">
        <f>""</f>
        <v/>
      </c>
      <c r="E45" s="85">
        <f t="shared" ref="E45:F48" si="3">IFERROR(E89/D89-1,0)</f>
        <v>4.6195652173913082E-2</v>
      </c>
      <c r="F45" s="85">
        <f t="shared" si="3"/>
        <v>3.8961038961038863E-2</v>
      </c>
      <c r="G45" s="87">
        <v>4.4999999999999998E-2</v>
      </c>
      <c r="H45" s="88">
        <v>4.4999999999999998E-2</v>
      </c>
      <c r="I45" s="88">
        <v>4.4999999999999998E-2</v>
      </c>
      <c r="J45" s="88">
        <v>4.4999999999999998E-2</v>
      </c>
      <c r="K45" s="89">
        <v>4.4999999999999998E-2</v>
      </c>
    </row>
    <row r="46" spans="2:11" ht="15" customHeight="1" x14ac:dyDescent="0.15">
      <c r="B46" s="84" t="s">
        <v>70</v>
      </c>
      <c r="C46" s="85" t="str">
        <f>""</f>
        <v/>
      </c>
      <c r="D46" s="86" t="str">
        <f>""</f>
        <v/>
      </c>
      <c r="E46" s="85">
        <f t="shared" si="3"/>
        <v>4.6195652173913082E-2</v>
      </c>
      <c r="F46" s="85">
        <f t="shared" si="3"/>
        <v>3.8961038961038863E-2</v>
      </c>
      <c r="G46" s="87">
        <v>4.4999999999999998E-2</v>
      </c>
      <c r="H46" s="88">
        <v>4.4999999999999998E-2</v>
      </c>
      <c r="I46" s="88">
        <v>4.4999999999999998E-2</v>
      </c>
      <c r="J46" s="88">
        <v>4.4999999999999998E-2</v>
      </c>
      <c r="K46" s="89">
        <v>4.4999999999999998E-2</v>
      </c>
    </row>
    <row r="47" spans="2:11" ht="15" customHeight="1" x14ac:dyDescent="0.15">
      <c r="B47" s="84" t="s">
        <v>71</v>
      </c>
      <c r="C47" s="85" t="str">
        <f>""</f>
        <v/>
      </c>
      <c r="D47" s="86" t="str">
        <f>""</f>
        <v/>
      </c>
      <c r="E47" s="85">
        <f t="shared" si="3"/>
        <v>4.6195652173913082E-2</v>
      </c>
      <c r="F47" s="85">
        <f t="shared" si="3"/>
        <v>3.8961038961038863E-2</v>
      </c>
      <c r="G47" s="87">
        <v>4.4999999999999998E-2</v>
      </c>
      <c r="H47" s="88">
        <v>4.4999999999999998E-2</v>
      </c>
      <c r="I47" s="88">
        <v>4.4999999999999998E-2</v>
      </c>
      <c r="J47" s="88">
        <v>4.4999999999999998E-2</v>
      </c>
      <c r="K47" s="89">
        <v>4.4999999999999998E-2</v>
      </c>
    </row>
    <row r="48" spans="2:11" ht="15" customHeight="1" x14ac:dyDescent="0.15">
      <c r="B48" s="90" t="s">
        <v>72</v>
      </c>
      <c r="C48" s="71" t="str">
        <f>""</f>
        <v/>
      </c>
      <c r="D48" s="91" t="str">
        <f>""</f>
        <v/>
      </c>
      <c r="E48" s="71">
        <f t="shared" si="3"/>
        <v>4.6195652173913082E-2</v>
      </c>
      <c r="F48" s="71">
        <f t="shared" si="3"/>
        <v>3.8961038961038863E-2</v>
      </c>
      <c r="G48" s="92">
        <f>+(G92/F92)-1</f>
        <v>4.4999999999999929E-2</v>
      </c>
      <c r="H48" s="93">
        <f>+(H92/G92)-1</f>
        <v>4.4999999999999929E-2</v>
      </c>
      <c r="I48" s="93">
        <f>+(I92/H92)-1</f>
        <v>4.4999999999999929E-2</v>
      </c>
      <c r="J48" s="93">
        <f>+(J92/I92)-1</f>
        <v>4.4999999999999929E-2</v>
      </c>
      <c r="K48" s="94">
        <f>+(K92/J92)-1</f>
        <v>4.4999999999999929E-2</v>
      </c>
    </row>
    <row r="49" spans="2:11" ht="15" customHeight="1" x14ac:dyDescent="0.15">
      <c r="B49" s="79"/>
      <c r="C49" s="6"/>
      <c r="D49" s="6"/>
      <c r="E49" s="6"/>
      <c r="F49" s="6"/>
      <c r="G49" s="95"/>
      <c r="H49" s="96"/>
      <c r="I49" s="96"/>
      <c r="J49" s="96"/>
      <c r="K49" s="97"/>
    </row>
    <row r="50" spans="2:11" ht="15" customHeight="1" x14ac:dyDescent="0.15">
      <c r="B50" s="98" t="s">
        <v>73</v>
      </c>
      <c r="C50" s="27" t="str">
        <f>""</f>
        <v/>
      </c>
      <c r="D50" s="85">
        <f>IFERROR(1-(-D95/D$92),0)</f>
        <v>0.71924891304347827</v>
      </c>
      <c r="E50" s="85">
        <f>IFERROR(1-(-E95/E$92),0)</f>
        <v>0.70809999999999995</v>
      </c>
      <c r="F50" s="85">
        <f>IFERROR(1-(-F95/F$92),0)</f>
        <v>0.71199999999999997</v>
      </c>
      <c r="G50" s="87">
        <v>0.65</v>
      </c>
      <c r="H50" s="88">
        <v>0.65500000000000003</v>
      </c>
      <c r="I50" s="88">
        <v>0.66</v>
      </c>
      <c r="J50" s="88">
        <v>0.66500000000000004</v>
      </c>
      <c r="K50" s="89">
        <v>0.67</v>
      </c>
    </row>
    <row r="51" spans="2:11" ht="15" customHeight="1" x14ac:dyDescent="0.15">
      <c r="B51" s="79"/>
      <c r="C51" s="6"/>
      <c r="D51" s="6"/>
      <c r="E51" s="6"/>
      <c r="F51" s="6"/>
      <c r="G51" s="95"/>
      <c r="H51" s="96"/>
      <c r="I51" s="96"/>
      <c r="J51" s="96"/>
      <c r="K51" s="97"/>
    </row>
    <row r="52" spans="2:11" ht="15" customHeight="1" x14ac:dyDescent="0.15">
      <c r="B52" s="99" t="s">
        <v>74</v>
      </c>
      <c r="C52" s="100" t="str">
        <f>""</f>
        <v/>
      </c>
      <c r="D52" s="101">
        <f>IFERROR(D99/D$92*-1,0)</f>
        <v>0.42282608695652174</v>
      </c>
      <c r="E52" s="101">
        <f>IFERROR(E99/E$92*-1,0)</f>
        <v>0.43012987012987014</v>
      </c>
      <c r="F52" s="101">
        <f>IFERROR(F99/F$92*-1,0)</f>
        <v>0.44450000000000001</v>
      </c>
      <c r="G52" s="102">
        <v>0.4</v>
      </c>
      <c r="H52" s="103">
        <v>0.4</v>
      </c>
      <c r="I52" s="103">
        <v>0.4</v>
      </c>
      <c r="J52" s="103">
        <v>0.4</v>
      </c>
      <c r="K52" s="104">
        <v>0.4</v>
      </c>
    </row>
    <row r="53" spans="2:11" x14ac:dyDescent="0.15">
      <c r="C53" s="6"/>
      <c r="D53" s="6"/>
      <c r="E53" s="6"/>
      <c r="F53" s="6"/>
    </row>
    <row r="54" spans="2:11" ht="15" customHeight="1" x14ac:dyDescent="0.15">
      <c r="B54" s="105" t="s">
        <v>75</v>
      </c>
      <c r="C54" s="77"/>
      <c r="D54" s="77"/>
      <c r="E54" s="77"/>
      <c r="F54" s="77"/>
      <c r="G54" s="77"/>
      <c r="H54" s="77"/>
      <c r="I54" s="77"/>
      <c r="J54" s="77"/>
      <c r="K54" s="106"/>
    </row>
    <row r="55" spans="2:11" ht="15" customHeight="1" x14ac:dyDescent="0.15">
      <c r="B55" s="107"/>
      <c r="C55" s="6"/>
      <c r="D55" s="6"/>
      <c r="E55" s="6"/>
      <c r="F55" s="6"/>
      <c r="G55" s="79"/>
      <c r="K55" s="108"/>
    </row>
    <row r="56" spans="2:11" ht="15" customHeight="1" x14ac:dyDescent="0.15">
      <c r="B56" s="107"/>
      <c r="C56" s="81" t="str">
        <f>""</f>
        <v/>
      </c>
      <c r="D56" s="81" t="str">
        <f t="shared" ref="D56:K56" si="4">D$2&amp;D$3</f>
        <v>2024A</v>
      </c>
      <c r="E56" s="81" t="str">
        <f t="shared" si="4"/>
        <v>2025A</v>
      </c>
      <c r="F56" s="81" t="str">
        <f t="shared" si="4"/>
        <v>2026A</v>
      </c>
      <c r="G56" s="82" t="str">
        <f t="shared" si="4"/>
        <v>2027E</v>
      </c>
      <c r="H56" s="81" t="str">
        <f t="shared" si="4"/>
        <v>2028E</v>
      </c>
      <c r="I56" s="81" t="str">
        <f t="shared" si="4"/>
        <v>2029E</v>
      </c>
      <c r="J56" s="81" t="str">
        <f t="shared" si="4"/>
        <v>2030E</v>
      </c>
      <c r="K56" s="109" t="str">
        <f t="shared" si="4"/>
        <v>2031E</v>
      </c>
    </row>
    <row r="57" spans="2:11" ht="15" customHeight="1" x14ac:dyDescent="0.15">
      <c r="B57" s="107"/>
      <c r="C57" s="6"/>
      <c r="D57" s="6"/>
      <c r="E57" s="6"/>
      <c r="F57" s="6"/>
      <c r="G57" s="95"/>
      <c r="H57" s="96"/>
      <c r="I57" s="96"/>
      <c r="J57" s="96"/>
      <c r="K57" s="110"/>
    </row>
    <row r="58" spans="2:11" ht="15" customHeight="1" x14ac:dyDescent="0.15">
      <c r="B58" s="111" t="s">
        <v>76</v>
      </c>
      <c r="C58" s="112" t="str">
        <f>""</f>
        <v/>
      </c>
      <c r="D58" s="85">
        <f t="shared" ref="D58:F59" si="5">IFERROR(D114/D$92,0)</f>
        <v>2.4999999999999998E-2</v>
      </c>
      <c r="E58" s="85">
        <f t="shared" si="5"/>
        <v>2.5000000000000001E-2</v>
      </c>
      <c r="F58" s="85">
        <f t="shared" si="5"/>
        <v>2.5000000000000001E-2</v>
      </c>
      <c r="G58" s="87">
        <v>2.5000000000000001E-2</v>
      </c>
      <c r="H58" s="88">
        <v>0.04</v>
      </c>
      <c r="I58" s="88">
        <v>0.04</v>
      </c>
      <c r="J58" s="88">
        <v>0.04</v>
      </c>
      <c r="K58" s="113">
        <v>0.04</v>
      </c>
    </row>
    <row r="59" spans="2:11" ht="15" customHeight="1" x14ac:dyDescent="0.15">
      <c r="B59" s="111" t="s">
        <v>77</v>
      </c>
      <c r="C59" s="112" t="str">
        <f>""</f>
        <v/>
      </c>
      <c r="D59" s="85">
        <f t="shared" si="5"/>
        <v>7.4999999999999997E-3</v>
      </c>
      <c r="E59" s="85">
        <f t="shared" si="5"/>
        <v>7.5000000000000006E-3</v>
      </c>
      <c r="F59" s="85">
        <f t="shared" si="5"/>
        <v>7.4999999999999997E-3</v>
      </c>
      <c r="G59" s="87">
        <v>7.4999999999999997E-3</v>
      </c>
      <c r="H59" s="88">
        <v>0.01</v>
      </c>
      <c r="I59" s="88">
        <v>0.01</v>
      </c>
      <c r="J59" s="88">
        <v>0.01</v>
      </c>
      <c r="K59" s="113">
        <v>0.01</v>
      </c>
    </row>
    <row r="60" spans="2:11" ht="15" customHeight="1" x14ac:dyDescent="0.15">
      <c r="B60" s="114" t="s">
        <v>78</v>
      </c>
      <c r="C60" s="52" t="str">
        <f>""</f>
        <v/>
      </c>
      <c r="D60" s="71">
        <f t="shared" ref="D60:K60" si="6">IFERROR(SUM(D114:D115)/D$92,0)</f>
        <v>3.2499999999999994E-2</v>
      </c>
      <c r="E60" s="71">
        <f t="shared" si="6"/>
        <v>3.2500000000000001E-2</v>
      </c>
      <c r="F60" s="71">
        <f t="shared" si="6"/>
        <v>3.2500000000000001E-2</v>
      </c>
      <c r="G60" s="92">
        <f t="shared" si="6"/>
        <v>3.2500000000000001E-2</v>
      </c>
      <c r="H60" s="93">
        <f t="shared" si="6"/>
        <v>4.9999999999999996E-2</v>
      </c>
      <c r="I60" s="93">
        <f t="shared" si="6"/>
        <v>0.05</v>
      </c>
      <c r="J60" s="93">
        <f t="shared" si="6"/>
        <v>0.05</v>
      </c>
      <c r="K60" s="115">
        <f t="shared" si="6"/>
        <v>0.05</v>
      </c>
    </row>
    <row r="61" spans="2:11" ht="15" customHeight="1" x14ac:dyDescent="0.15">
      <c r="B61" s="107"/>
      <c r="C61" s="6"/>
      <c r="D61" s="6"/>
      <c r="E61" s="6"/>
      <c r="F61" s="6"/>
      <c r="G61" s="95"/>
      <c r="H61" s="96"/>
      <c r="I61" s="96"/>
      <c r="J61" s="96"/>
      <c r="K61" s="110"/>
    </row>
    <row r="62" spans="2:11" ht="15" customHeight="1" x14ac:dyDescent="0.15">
      <c r="B62" s="111" t="s">
        <v>79</v>
      </c>
      <c r="C62" s="112" t="str">
        <f>""</f>
        <v/>
      </c>
      <c r="D62" s="85">
        <f t="shared" ref="D62:F64" si="7">IFERROR(D145/D$92,0)</f>
        <v>2.0108695652173915E-2</v>
      </c>
      <c r="E62" s="85">
        <f t="shared" si="7"/>
        <v>2.2857142857142861E-2</v>
      </c>
      <c r="F62" s="85">
        <f t="shared" si="7"/>
        <v>2.35E-2</v>
      </c>
      <c r="G62" s="87">
        <v>2.5000000000000001E-2</v>
      </c>
      <c r="H62" s="88">
        <v>2.5000000000000001E-2</v>
      </c>
      <c r="I62" s="88">
        <v>2.5000000000000001E-2</v>
      </c>
      <c r="J62" s="88">
        <v>2.5000000000000001E-2</v>
      </c>
      <c r="K62" s="113">
        <v>2.5000000000000001E-2</v>
      </c>
    </row>
    <row r="63" spans="2:11" ht="15" customHeight="1" x14ac:dyDescent="0.15">
      <c r="B63" s="111" t="s">
        <v>80</v>
      </c>
      <c r="C63" s="112" t="str">
        <f>""</f>
        <v/>
      </c>
      <c r="D63" s="85">
        <f t="shared" si="7"/>
        <v>3.0163043478260869E-2</v>
      </c>
      <c r="E63" s="85">
        <f t="shared" si="7"/>
        <v>3.428571428571428E-2</v>
      </c>
      <c r="F63" s="85">
        <f t="shared" si="7"/>
        <v>3.5249999999999997E-2</v>
      </c>
      <c r="G63" s="87">
        <v>3.5000000000000003E-2</v>
      </c>
      <c r="H63" s="88">
        <v>3.5000000000000003E-2</v>
      </c>
      <c r="I63" s="88">
        <v>3.5000000000000003E-2</v>
      </c>
      <c r="J63" s="88">
        <v>3.5000000000000003E-2</v>
      </c>
      <c r="K63" s="113">
        <v>3.5000000000000003E-2</v>
      </c>
    </row>
    <row r="64" spans="2:11" ht="15" customHeight="1" x14ac:dyDescent="0.15">
      <c r="B64" s="114" t="s">
        <v>81</v>
      </c>
      <c r="C64" s="52" t="str">
        <f>""</f>
        <v/>
      </c>
      <c r="D64" s="93">
        <f t="shared" si="7"/>
        <v>5.0271739130434784E-2</v>
      </c>
      <c r="E64" s="93">
        <f t="shared" si="7"/>
        <v>5.7142857142857141E-2</v>
      </c>
      <c r="F64" s="93">
        <f t="shared" si="7"/>
        <v>5.8749999999999997E-2</v>
      </c>
      <c r="G64" s="92">
        <f>+G147/G$92</f>
        <v>6.0000000000000005E-2</v>
      </c>
      <c r="H64" s="93">
        <f>+H147/H$92</f>
        <v>0.06</v>
      </c>
      <c r="I64" s="93">
        <f>+I147/I$92</f>
        <v>6.0000000000000005E-2</v>
      </c>
      <c r="J64" s="93">
        <f>+J147/J$92</f>
        <v>6.0000000000000005E-2</v>
      </c>
      <c r="K64" s="115">
        <f>+K147/K$92</f>
        <v>6.0000000000000012E-2</v>
      </c>
    </row>
    <row r="65" spans="2:11" ht="15" customHeight="1" x14ac:dyDescent="0.15">
      <c r="B65" s="107"/>
      <c r="C65" s="6"/>
      <c r="D65" s="6"/>
      <c r="E65" s="6"/>
      <c r="F65" s="6"/>
      <c r="K65" s="108"/>
    </row>
    <row r="66" spans="2:11" ht="15" customHeight="1" x14ac:dyDescent="0.15">
      <c r="B66" s="116" t="s">
        <v>82</v>
      </c>
      <c r="C66" s="117" t="str">
        <f>""</f>
        <v/>
      </c>
      <c r="D66" s="118">
        <f>IFERROR(D150/D$92,0)</f>
        <v>2.4999999999999998E-2</v>
      </c>
      <c r="E66" s="118">
        <f>IFERROR(E150/E$92,0)</f>
        <v>2.5000000000000001E-2</v>
      </c>
      <c r="F66" s="118">
        <f>IFERROR(F150/F$92,0)</f>
        <v>2.5000000000000001E-2</v>
      </c>
      <c r="G66" s="119">
        <v>2.5000000000000001E-2</v>
      </c>
      <c r="H66" s="120">
        <v>2.5000000000000001E-2</v>
      </c>
      <c r="I66" s="120">
        <v>2.5000000000000001E-2</v>
      </c>
      <c r="J66" s="120">
        <v>2.5000000000000001E-2</v>
      </c>
      <c r="K66" s="121">
        <v>2.5000000000000001E-2</v>
      </c>
    </row>
    <row r="68" spans="2:11" ht="15" customHeight="1" x14ac:dyDescent="0.15">
      <c r="B68" s="76" t="s">
        <v>83</v>
      </c>
      <c r="C68" s="77"/>
      <c r="D68" s="77"/>
      <c r="E68" s="77"/>
      <c r="F68" s="77"/>
      <c r="G68" s="77"/>
      <c r="H68" s="77"/>
      <c r="I68" s="77"/>
      <c r="J68" s="77"/>
      <c r="K68" s="78"/>
    </row>
    <row r="69" spans="2:11" ht="18" customHeight="1" x14ac:dyDescent="0.15">
      <c r="B69" s="122" t="s">
        <v>206</v>
      </c>
      <c r="C69" s="123"/>
      <c r="D69" s="123"/>
      <c r="E69" s="123"/>
      <c r="F69" s="177">
        <v>3.9300000000000002E-2</v>
      </c>
      <c r="G69" s="178">
        <v>3.9800000000000002E-2</v>
      </c>
      <c r="H69" s="177">
        <v>3.9849999999999997E-2</v>
      </c>
      <c r="I69" s="177">
        <v>4.0399999999999998E-2</v>
      </c>
      <c r="J69" s="177">
        <v>4.1450000000000001E-2</v>
      </c>
      <c r="K69" s="179">
        <v>4.2750000000000003E-2</v>
      </c>
    </row>
    <row r="71" spans="2:11" ht="15" customHeight="1" x14ac:dyDescent="0.15">
      <c r="B71" s="30" t="s">
        <v>84</v>
      </c>
      <c r="C71" s="30"/>
      <c r="D71" s="30"/>
      <c r="E71" s="30"/>
      <c r="F71" s="30"/>
      <c r="G71" s="30"/>
      <c r="H71" s="30"/>
      <c r="I71" s="30"/>
      <c r="J71" s="30"/>
      <c r="K71" s="30"/>
    </row>
    <row r="73" spans="2:11" ht="15" customHeight="1" x14ac:dyDescent="0.15">
      <c r="C73" s="124"/>
      <c r="D73" s="124"/>
      <c r="E73" s="125"/>
      <c r="F73" s="125"/>
      <c r="G73" s="81" t="str">
        <f>G$2&amp;G$3</f>
        <v>2027E</v>
      </c>
      <c r="H73" s="81" t="str">
        <f>H$2&amp;H$3</f>
        <v>2028E</v>
      </c>
      <c r="I73" s="81" t="str">
        <f>I$2&amp;I$3</f>
        <v>2029E</v>
      </c>
      <c r="J73" s="81" t="str">
        <f>J$2&amp;J$3</f>
        <v>2030E</v>
      </c>
      <c r="K73" s="81" t="str">
        <f>K$2&amp;K$3</f>
        <v>2031E</v>
      </c>
    </row>
    <row r="74" spans="2:11" ht="15" customHeight="1" x14ac:dyDescent="0.15">
      <c r="B74" s="126" t="s">
        <v>85</v>
      </c>
      <c r="C74" s="124" t="s">
        <v>48</v>
      </c>
      <c r="D74" s="125" t="s">
        <v>51</v>
      </c>
      <c r="E74" s="125"/>
      <c r="F74" s="125"/>
    </row>
    <row r="75" spans="2:11" ht="15" customHeight="1" x14ac:dyDescent="0.15">
      <c r="B75" s="58" t="str">
        <f>+B25</f>
        <v>New Revolving Credit Facility ($300)</v>
      </c>
      <c r="C75" s="112">
        <f>+F25</f>
        <v>5</v>
      </c>
      <c r="D75" s="127">
        <f>+I25</f>
        <v>0</v>
      </c>
      <c r="E75" s="125"/>
      <c r="F75" s="125"/>
      <c r="G75" s="73">
        <f>+-IF($D75&lt;=(-SUM($E75:F75)),0,($D75/$C75))</f>
        <v>0</v>
      </c>
      <c r="H75" s="73">
        <f>+-IF($D75&lt;=(-SUM($E75:G75)),0,($D75/$C75))</f>
        <v>0</v>
      </c>
      <c r="I75" s="73">
        <f>+-IF($D75&lt;=(-SUM($E75:H75)),0,($D75/$C75))</f>
        <v>0</v>
      </c>
      <c r="J75" s="73">
        <f>+-IF($D75&lt;=(-SUM($E75:I75)),0,($D75/$C75))</f>
        <v>0</v>
      </c>
      <c r="K75" s="73">
        <f>+-IF($D75&lt;=(-SUM($E75:J75)),0,($D75/$C75))</f>
        <v>0</v>
      </c>
    </row>
    <row r="76" spans="2:11" ht="15" customHeight="1" x14ac:dyDescent="0.15">
      <c r="B76" s="58" t="str">
        <f>+B26</f>
        <v>New First Lien Term Loan</v>
      </c>
      <c r="C76" s="112">
        <f>+F26</f>
        <v>7</v>
      </c>
      <c r="D76" s="128">
        <f>+I26</f>
        <v>4.8</v>
      </c>
      <c r="E76" s="125"/>
      <c r="F76" s="125"/>
      <c r="G76" s="74">
        <f>+-IF($D76&lt;=(-SUM($E76:F76)),0,($D76/$C76))</f>
        <v>-0.68571428571428572</v>
      </c>
      <c r="H76" s="74">
        <f>+-IF($D76&lt;=(-SUM($E76:G76)),0,($D76/$C76))</f>
        <v>-0.68571428571428572</v>
      </c>
      <c r="I76" s="74">
        <f>+-IF($D76&lt;=(-SUM($E76:H76)),0,($D76/$C76))</f>
        <v>-0.68571428571428572</v>
      </c>
      <c r="J76" s="74">
        <f>+-IF($D76&lt;=(-SUM($E76:I76)),0,($D76/$C76))</f>
        <v>-0.68571428571428572</v>
      </c>
      <c r="K76" s="74">
        <f>+-IF($D76&lt;=(-SUM($E76:J76)),0,($D76/$C76))</f>
        <v>-0.68571428571428572</v>
      </c>
    </row>
    <row r="77" spans="2:11" ht="15" customHeight="1" x14ac:dyDescent="0.15">
      <c r="B77" s="44" t="str">
        <f>+B27</f>
        <v>New Senior Unsecured Notes</v>
      </c>
      <c r="C77" s="129">
        <f>+F27</f>
        <v>8</v>
      </c>
      <c r="D77" s="130">
        <f>+I27</f>
        <v>0</v>
      </c>
      <c r="E77" s="125"/>
      <c r="F77" s="125"/>
      <c r="G77" s="131">
        <f>+-IF($D77&lt;=(-SUM($E77:F77)),0,($D77/$C77))</f>
        <v>0</v>
      </c>
      <c r="H77" s="131">
        <f>+-IF($D77&lt;=(-SUM($E77:G77)),0,($D77/$C77))</f>
        <v>0</v>
      </c>
      <c r="I77" s="131">
        <f>+-IF($D77&lt;=(-SUM($E77:H77)),0,($D77/$C77))</f>
        <v>0</v>
      </c>
      <c r="J77" s="131">
        <f>+-IF($D77&lt;=(-SUM($E77:I77)),0,($D77/$C77))</f>
        <v>0</v>
      </c>
      <c r="K77" s="131">
        <f>+-IF($D77&lt;=(-SUM($E77:J77)),0,($D77/$C77))</f>
        <v>0</v>
      </c>
    </row>
    <row r="78" spans="2:11" ht="15" customHeight="1" x14ac:dyDescent="0.15">
      <c r="B78" s="27" t="s">
        <v>86</v>
      </c>
      <c r="C78" s="27"/>
      <c r="D78" s="132">
        <f>SUM(D75:D77)</f>
        <v>4.8</v>
      </c>
      <c r="E78" s="72"/>
      <c r="F78" s="72"/>
      <c r="G78" s="72">
        <f>SUM(G75:G77)</f>
        <v>-0.68571428571428572</v>
      </c>
      <c r="H78" s="72">
        <f>SUM(H75:H77)</f>
        <v>-0.68571428571428572</v>
      </c>
      <c r="I78" s="72">
        <f>SUM(I75:I77)</f>
        <v>-0.68571428571428572</v>
      </c>
      <c r="J78" s="72">
        <f>SUM(J75:J77)</f>
        <v>-0.68571428571428572</v>
      </c>
      <c r="K78" s="72">
        <f>SUM(K75:K77)</f>
        <v>-0.68571428571428572</v>
      </c>
    </row>
    <row r="80" spans="2:11" ht="15" customHeight="1" x14ac:dyDescent="0.15">
      <c r="B80" s="126" t="s">
        <v>87</v>
      </c>
      <c r="C80" s="124" t="s">
        <v>48</v>
      </c>
      <c r="D80" s="125" t="s">
        <v>53</v>
      </c>
      <c r="E80" s="125"/>
    </row>
    <row r="81" spans="2:11" ht="15" customHeight="1" x14ac:dyDescent="0.15">
      <c r="B81" s="58" t="str">
        <f>+B25</f>
        <v>New Revolving Credit Facility ($300)</v>
      </c>
      <c r="C81" s="112">
        <f>+F25</f>
        <v>5</v>
      </c>
      <c r="D81" s="127">
        <f>+K25</f>
        <v>3.75</v>
      </c>
      <c r="E81" s="125"/>
      <c r="F81" s="125"/>
      <c r="G81" s="73">
        <f>+-IF($D81&lt;=(-SUM($E81:F81)),0,($D81/$C81))</f>
        <v>-0.75</v>
      </c>
      <c r="H81" s="73">
        <f>+-IF($D81&lt;=(-SUM($E81:G81)),0,($D81/$C81))</f>
        <v>-0.75</v>
      </c>
      <c r="I81" s="73">
        <f>+-IF($D81&lt;=(-SUM($E81:H81)),0,($D81/$C81))</f>
        <v>-0.75</v>
      </c>
      <c r="J81" s="73">
        <f>+-IF($D81&lt;=(-SUM($E81:I81)),0,($D81/$C81))</f>
        <v>-0.75</v>
      </c>
      <c r="K81" s="73">
        <f>+-IF($D81&lt;=(-SUM($E81:J81)),0,($D81/$C81))</f>
        <v>-0.75</v>
      </c>
    </row>
    <row r="82" spans="2:11" ht="15" customHeight="1" x14ac:dyDescent="0.15">
      <c r="B82" s="58" t="str">
        <f>+B26</f>
        <v>New First Lien Term Loan</v>
      </c>
      <c r="C82" s="112">
        <f>+F26</f>
        <v>7</v>
      </c>
      <c r="D82" s="128">
        <f>+K26</f>
        <v>10.799999999999999</v>
      </c>
      <c r="E82" s="125"/>
      <c r="F82" s="125"/>
      <c r="G82" s="74">
        <f>+-IF($D82&lt;=(-SUM($E82:F82)),0,($D82/$C82))</f>
        <v>-1.5428571428571427</v>
      </c>
      <c r="H82" s="74">
        <f>+-IF($D82&lt;=(-SUM($E82:G82)),0,($D82/$C82))</f>
        <v>-1.5428571428571427</v>
      </c>
      <c r="I82" s="74">
        <f>+-IF($D82&lt;=(-SUM($E82:H82)),0,($D82/$C82))</f>
        <v>-1.5428571428571427</v>
      </c>
      <c r="J82" s="74">
        <f>+-IF($D82&lt;=(-SUM($E82:I82)),0,($D82/$C82))</f>
        <v>-1.5428571428571427</v>
      </c>
      <c r="K82" s="74">
        <f>+-IF($D82&lt;=(-SUM($E82:J82)),0,($D82/$C82))</f>
        <v>-1.5428571428571427</v>
      </c>
    </row>
    <row r="83" spans="2:11" ht="15" customHeight="1" x14ac:dyDescent="0.15">
      <c r="B83" s="44" t="str">
        <f>+B27</f>
        <v>New Senior Unsecured Notes</v>
      </c>
      <c r="C83" s="129">
        <f>+F27</f>
        <v>8</v>
      </c>
      <c r="D83" s="130">
        <f>+K27</f>
        <v>10.65</v>
      </c>
      <c r="E83" s="125"/>
      <c r="F83" s="125"/>
      <c r="G83" s="131">
        <f>+-IF($D83&lt;=(-SUM($E83:F83)),0,($D83/$C83))</f>
        <v>-1.33125</v>
      </c>
      <c r="H83" s="131">
        <f>+-IF($D83&lt;=(-SUM($E83:G83)),0,($D83/$C83))</f>
        <v>-1.33125</v>
      </c>
      <c r="I83" s="131">
        <f>+-IF($D83&lt;=(-SUM($E83:H83)),0,($D83/$C83))</f>
        <v>-1.33125</v>
      </c>
      <c r="J83" s="131">
        <f>+-IF($D83&lt;=(-SUM($E83:I83)),0,($D83/$C83))</f>
        <v>-1.33125</v>
      </c>
      <c r="K83" s="131">
        <f>+-IF($D83&lt;=(-SUM($E83:J83)),0,($D83/$C83))</f>
        <v>-1.33125</v>
      </c>
    </row>
    <row r="84" spans="2:11" ht="15" customHeight="1" x14ac:dyDescent="0.15">
      <c r="B84" s="27" t="s">
        <v>88</v>
      </c>
      <c r="C84" s="27"/>
      <c r="D84" s="132">
        <f>SUM(D81:D83)</f>
        <v>25.2</v>
      </c>
      <c r="E84" s="72"/>
      <c r="F84" s="72"/>
      <c r="G84" s="72">
        <f>SUM(G81:G83)</f>
        <v>-3.6241071428571425</v>
      </c>
      <c r="H84" s="72">
        <f>SUM(H81:H83)</f>
        <v>-3.6241071428571425</v>
      </c>
      <c r="I84" s="72">
        <f>SUM(I81:I83)</f>
        <v>-3.6241071428571425</v>
      </c>
      <c r="J84" s="72">
        <f>SUM(J81:J83)</f>
        <v>-3.6241071428571425</v>
      </c>
      <c r="K84" s="72">
        <f>SUM(K81:K83)</f>
        <v>-3.6241071428571425</v>
      </c>
    </row>
    <row r="86" spans="2:11" ht="15" customHeight="1" x14ac:dyDescent="0.15">
      <c r="B86" s="30" t="s">
        <v>68</v>
      </c>
      <c r="C86" s="30"/>
      <c r="D86" s="30"/>
      <c r="E86" s="30"/>
      <c r="F86" s="30"/>
      <c r="G86" s="30"/>
      <c r="H86" s="30"/>
      <c r="I86" s="30"/>
      <c r="J86" s="30"/>
      <c r="K86" s="30"/>
    </row>
    <row r="87" spans="2:11" ht="15" customHeight="1" x14ac:dyDescent="0.15">
      <c r="G87" s="79"/>
    </row>
    <row r="88" spans="2:11" ht="15" customHeight="1" x14ac:dyDescent="0.15">
      <c r="C88" s="81" t="str">
        <f>""</f>
        <v/>
      </c>
      <c r="D88" s="81" t="str">
        <f t="shared" ref="D88:K88" si="8">D$2&amp;D$3</f>
        <v>2024A</v>
      </c>
      <c r="E88" s="81" t="str">
        <f t="shared" si="8"/>
        <v>2025A</v>
      </c>
      <c r="F88" s="81" t="str">
        <f t="shared" si="8"/>
        <v>2026A</v>
      </c>
      <c r="G88" s="82" t="str">
        <f t="shared" si="8"/>
        <v>2027E</v>
      </c>
      <c r="H88" s="81" t="str">
        <f t="shared" si="8"/>
        <v>2028E</v>
      </c>
      <c r="I88" s="81" t="str">
        <f t="shared" si="8"/>
        <v>2029E</v>
      </c>
      <c r="J88" s="81" t="str">
        <f t="shared" si="8"/>
        <v>2030E</v>
      </c>
      <c r="K88" s="81" t="str">
        <f t="shared" si="8"/>
        <v>2031E</v>
      </c>
    </row>
    <row r="89" spans="2:11" ht="15" customHeight="1" x14ac:dyDescent="0.15">
      <c r="B89" s="133" t="s">
        <v>89</v>
      </c>
      <c r="C89" s="74"/>
      <c r="D89" s="65">
        <v>207</v>
      </c>
      <c r="E89" s="65">
        <v>216.5625</v>
      </c>
      <c r="F89" s="65">
        <v>225</v>
      </c>
      <c r="G89" s="135">
        <f t="shared" ref="G89:K91" si="9">+F89*(1+G45)</f>
        <v>235.12499999999997</v>
      </c>
      <c r="H89" s="74">
        <f t="shared" si="9"/>
        <v>245.70562499999994</v>
      </c>
      <c r="I89" s="74">
        <f t="shared" si="9"/>
        <v>256.76237812499994</v>
      </c>
      <c r="J89" s="74">
        <f t="shared" si="9"/>
        <v>268.31668514062494</v>
      </c>
      <c r="K89" s="74">
        <f t="shared" si="9"/>
        <v>280.39093597195307</v>
      </c>
    </row>
    <row r="90" spans="2:11" ht="15" customHeight="1" x14ac:dyDescent="0.15">
      <c r="B90" s="133" t="s">
        <v>90</v>
      </c>
      <c r="C90" s="74"/>
      <c r="D90" s="65">
        <v>92</v>
      </c>
      <c r="E90" s="65">
        <v>96.25</v>
      </c>
      <c r="F90" s="65">
        <v>100</v>
      </c>
      <c r="G90" s="135">
        <f t="shared" si="9"/>
        <v>104.5</v>
      </c>
      <c r="H90" s="74">
        <f t="shared" si="9"/>
        <v>109.20249999999999</v>
      </c>
      <c r="I90" s="74">
        <f t="shared" si="9"/>
        <v>114.11661249999997</v>
      </c>
      <c r="J90" s="74">
        <f t="shared" si="9"/>
        <v>119.25186006249996</v>
      </c>
      <c r="K90" s="74">
        <f t="shared" si="9"/>
        <v>124.61819376531244</v>
      </c>
    </row>
    <row r="91" spans="2:11" ht="15" customHeight="1" x14ac:dyDescent="0.15">
      <c r="B91" s="133" t="s">
        <v>91</v>
      </c>
      <c r="C91" s="74"/>
      <c r="D91" s="65">
        <v>69</v>
      </c>
      <c r="E91" s="65">
        <v>72.1875</v>
      </c>
      <c r="F91" s="65">
        <v>75</v>
      </c>
      <c r="G91" s="135">
        <f t="shared" si="9"/>
        <v>78.375</v>
      </c>
      <c r="H91" s="74">
        <f t="shared" si="9"/>
        <v>81.90187499999999</v>
      </c>
      <c r="I91" s="74">
        <f t="shared" si="9"/>
        <v>85.58745937499998</v>
      </c>
      <c r="J91" s="74">
        <f t="shared" si="9"/>
        <v>89.438895046874975</v>
      </c>
      <c r="K91" s="74">
        <f t="shared" si="9"/>
        <v>93.463645323984338</v>
      </c>
    </row>
    <row r="92" spans="2:11" ht="15" customHeight="1" x14ac:dyDescent="0.15">
      <c r="B92" s="52" t="s">
        <v>92</v>
      </c>
      <c r="C92" s="68" t="str">
        <f>""</f>
        <v/>
      </c>
      <c r="D92" s="68">
        <f t="shared" ref="D92:K92" si="10">SUM(D89:D91)</f>
        <v>368</v>
      </c>
      <c r="E92" s="68">
        <f t="shared" si="10"/>
        <v>385</v>
      </c>
      <c r="F92" s="68">
        <f t="shared" si="10"/>
        <v>400</v>
      </c>
      <c r="G92" s="136">
        <f t="shared" si="10"/>
        <v>418</v>
      </c>
      <c r="H92" s="68">
        <f t="shared" si="10"/>
        <v>436.80999999999995</v>
      </c>
      <c r="I92" s="68">
        <f t="shared" si="10"/>
        <v>456.4664499999999</v>
      </c>
      <c r="J92" s="68">
        <f t="shared" si="10"/>
        <v>477.00744024999989</v>
      </c>
      <c r="K92" s="68">
        <f t="shared" si="10"/>
        <v>498.47277506124988</v>
      </c>
    </row>
    <row r="93" spans="2:11" ht="15" customHeight="1" x14ac:dyDescent="0.15">
      <c r="B93" s="137" t="s">
        <v>93</v>
      </c>
      <c r="C93" s="138" t="str">
        <f>""</f>
        <v/>
      </c>
      <c r="D93" s="139" t="str">
        <f>""</f>
        <v/>
      </c>
      <c r="E93" s="138">
        <f t="shared" ref="E93:K93" si="11">IFERROR(E92/D92-1,0)</f>
        <v>4.6195652173913082E-2</v>
      </c>
      <c r="F93" s="138">
        <f t="shared" si="11"/>
        <v>3.8961038961038863E-2</v>
      </c>
      <c r="G93" s="140">
        <f t="shared" si="11"/>
        <v>4.4999999999999929E-2</v>
      </c>
      <c r="H93" s="141">
        <f t="shared" si="11"/>
        <v>4.4999999999999929E-2</v>
      </c>
      <c r="I93" s="141">
        <f t="shared" si="11"/>
        <v>4.4999999999999929E-2</v>
      </c>
      <c r="J93" s="141">
        <f t="shared" si="11"/>
        <v>4.4999999999999929E-2</v>
      </c>
      <c r="K93" s="141">
        <f t="shared" si="11"/>
        <v>4.4999999999999929E-2</v>
      </c>
    </row>
    <row r="94" spans="2:11" ht="15" customHeight="1" x14ac:dyDescent="0.15">
      <c r="G94" s="79"/>
    </row>
    <row r="95" spans="2:11" ht="15" customHeight="1" x14ac:dyDescent="0.15">
      <c r="B95" s="133" t="s">
        <v>94</v>
      </c>
      <c r="C95" s="74"/>
      <c r="D95" s="65">
        <v>-103.3164</v>
      </c>
      <c r="E95" s="65">
        <v>-112.3815</v>
      </c>
      <c r="F95" s="65">
        <v>-115.2</v>
      </c>
      <c r="G95" s="135">
        <f>+G$92*(1-G50)*-1</f>
        <v>-146.29999999999998</v>
      </c>
      <c r="H95" s="74">
        <f>+H$92*(1-H50)*-1</f>
        <v>-150.69944999999996</v>
      </c>
      <c r="I95" s="74">
        <f>+I$92*(1-I50)*-1</f>
        <v>-155.19859299999996</v>
      </c>
      <c r="J95" s="74">
        <f>+J$92*(1-J50)*-1</f>
        <v>-159.79749248374995</v>
      </c>
      <c r="K95" s="74">
        <f>+K$92*(1-K50)*-1</f>
        <v>-164.49601577021244</v>
      </c>
    </row>
    <row r="96" spans="2:11" ht="15" customHeight="1" x14ac:dyDescent="0.15">
      <c r="B96" s="52" t="s">
        <v>95</v>
      </c>
      <c r="C96" s="68" t="str">
        <f>""</f>
        <v/>
      </c>
      <c r="D96" s="68">
        <f t="shared" ref="D96:K96" si="12">+D92+D95</f>
        <v>264.68360000000001</v>
      </c>
      <c r="E96" s="68">
        <f t="shared" si="12"/>
        <v>272.61849999999998</v>
      </c>
      <c r="F96" s="68">
        <f t="shared" si="12"/>
        <v>284.8</v>
      </c>
      <c r="G96" s="136">
        <f t="shared" si="12"/>
        <v>271.70000000000005</v>
      </c>
      <c r="H96" s="68">
        <f t="shared" si="12"/>
        <v>286.11054999999999</v>
      </c>
      <c r="I96" s="68">
        <f t="shared" si="12"/>
        <v>301.26785699999994</v>
      </c>
      <c r="J96" s="68">
        <f t="shared" si="12"/>
        <v>317.20994776624991</v>
      </c>
      <c r="K96" s="68">
        <f t="shared" si="12"/>
        <v>333.97675929103741</v>
      </c>
    </row>
    <row r="97" spans="2:11" ht="15" customHeight="1" x14ac:dyDescent="0.15">
      <c r="B97" s="137" t="s">
        <v>96</v>
      </c>
      <c r="C97" s="138" t="str">
        <f>""</f>
        <v/>
      </c>
      <c r="D97" s="138">
        <f t="shared" ref="D97:K97" si="13">+IFERROR(D96/D$92,0)</f>
        <v>0.71924891304347827</v>
      </c>
      <c r="E97" s="138">
        <f t="shared" si="13"/>
        <v>0.70809999999999995</v>
      </c>
      <c r="F97" s="138">
        <f t="shared" si="13"/>
        <v>0.71200000000000008</v>
      </c>
      <c r="G97" s="140">
        <f t="shared" si="13"/>
        <v>0.65000000000000013</v>
      </c>
      <c r="H97" s="141">
        <f t="shared" si="13"/>
        <v>0.65500000000000003</v>
      </c>
      <c r="I97" s="141">
        <f t="shared" si="13"/>
        <v>0.66</v>
      </c>
      <c r="J97" s="141">
        <f t="shared" si="13"/>
        <v>0.66499999999999992</v>
      </c>
      <c r="K97" s="141">
        <f t="shared" si="13"/>
        <v>0.67</v>
      </c>
    </row>
    <row r="98" spans="2:11" ht="15" customHeight="1" x14ac:dyDescent="0.15">
      <c r="G98" s="79"/>
    </row>
    <row r="99" spans="2:11" ht="15" customHeight="1" x14ac:dyDescent="0.15">
      <c r="B99" s="133" t="s">
        <v>97</v>
      </c>
      <c r="C99" s="64"/>
      <c r="D99" s="65">
        <v>-155.6</v>
      </c>
      <c r="E99" s="65">
        <v>-165.6</v>
      </c>
      <c r="F99" s="65">
        <v>-177.8</v>
      </c>
      <c r="G99" s="135">
        <f>+G$92*G52*-1</f>
        <v>-167.20000000000002</v>
      </c>
      <c r="H99" s="74">
        <f>+H$92*H52*-1</f>
        <v>-174.72399999999999</v>
      </c>
      <c r="I99" s="74">
        <f>+I$92*I52*-1</f>
        <v>-182.58657999999997</v>
      </c>
      <c r="J99" s="74">
        <f>+J$92*J52*-1</f>
        <v>-190.80297609999997</v>
      </c>
      <c r="K99" s="74">
        <f>+K$92*K52*-1</f>
        <v>-199.38911002449996</v>
      </c>
    </row>
    <row r="100" spans="2:11" ht="15" customHeight="1" x14ac:dyDescent="0.15">
      <c r="B100" s="133" t="s">
        <v>98</v>
      </c>
      <c r="C100" s="64" t="str">
        <f>""</f>
        <v/>
      </c>
      <c r="D100" s="64">
        <v>0</v>
      </c>
      <c r="E100" s="64">
        <v>0</v>
      </c>
      <c r="F100" s="64">
        <v>0</v>
      </c>
      <c r="G100" s="142">
        <f>+G78</f>
        <v>-0.68571428571428572</v>
      </c>
      <c r="H100" s="64">
        <f>+H78</f>
        <v>-0.68571428571428572</v>
      </c>
      <c r="I100" s="64">
        <f>+I78</f>
        <v>-0.68571428571428572</v>
      </c>
      <c r="J100" s="64">
        <f>+J78</f>
        <v>-0.68571428571428572</v>
      </c>
      <c r="K100" s="64">
        <f>+K78</f>
        <v>-0.68571428571428572</v>
      </c>
    </row>
    <row r="101" spans="2:11" ht="15" customHeight="1" x14ac:dyDescent="0.15">
      <c r="B101" s="133" t="s">
        <v>99</v>
      </c>
      <c r="C101" s="64" t="str">
        <f>""</f>
        <v/>
      </c>
      <c r="D101" s="64">
        <v>0</v>
      </c>
      <c r="E101" s="64">
        <v>0</v>
      </c>
      <c r="F101" s="64">
        <v>0</v>
      </c>
      <c r="G101" s="142">
        <f>+G84</f>
        <v>-3.6241071428571425</v>
      </c>
      <c r="H101" s="64">
        <f>+H84</f>
        <v>-3.6241071428571425</v>
      </c>
      <c r="I101" s="64">
        <f>+I84</f>
        <v>-3.6241071428571425</v>
      </c>
      <c r="J101" s="64">
        <f>+J84</f>
        <v>-3.6241071428571425</v>
      </c>
      <c r="K101" s="64">
        <f>+K84</f>
        <v>-3.6241071428571425</v>
      </c>
    </row>
    <row r="102" spans="2:11" ht="15" customHeight="1" x14ac:dyDescent="0.15">
      <c r="B102" s="52" t="s">
        <v>100</v>
      </c>
      <c r="C102" s="68" t="str">
        <f>""</f>
        <v/>
      </c>
      <c r="D102" s="68">
        <f t="shared" ref="D102:K102" si="14">+D96+SUM(D99:D101)</f>
        <v>109.08360000000002</v>
      </c>
      <c r="E102" s="68">
        <f t="shared" si="14"/>
        <v>107.01849999999999</v>
      </c>
      <c r="F102" s="68">
        <f t="shared" si="14"/>
        <v>107</v>
      </c>
      <c r="G102" s="136">
        <f t="shared" si="14"/>
        <v>100.19017857142859</v>
      </c>
      <c r="H102" s="68">
        <f t="shared" si="14"/>
        <v>107.07672857142856</v>
      </c>
      <c r="I102" s="68">
        <f t="shared" si="14"/>
        <v>114.37145557142853</v>
      </c>
      <c r="J102" s="68">
        <f t="shared" si="14"/>
        <v>122.09715023767851</v>
      </c>
      <c r="K102" s="68">
        <f t="shared" si="14"/>
        <v>130.27782783796602</v>
      </c>
    </row>
    <row r="103" spans="2:11" ht="15" customHeight="1" x14ac:dyDescent="0.15">
      <c r="B103" s="137" t="s">
        <v>96</v>
      </c>
      <c r="C103" s="138" t="str">
        <f>""</f>
        <v/>
      </c>
      <c r="D103" s="138">
        <f t="shared" ref="D103:K103" si="15">+IFERROR(D102/D$92,0)</f>
        <v>0.29642282608695658</v>
      </c>
      <c r="E103" s="138">
        <f t="shared" si="15"/>
        <v>0.27797012987012987</v>
      </c>
      <c r="F103" s="138">
        <f t="shared" si="15"/>
        <v>0.26750000000000002</v>
      </c>
      <c r="G103" s="140">
        <f t="shared" si="15"/>
        <v>0.23968942241968563</v>
      </c>
      <c r="H103" s="141">
        <f t="shared" si="15"/>
        <v>0.24513341858343118</v>
      </c>
      <c r="I103" s="141">
        <f t="shared" si="15"/>
        <v>0.25055829529514939</v>
      </c>
      <c r="J103" s="141">
        <f t="shared" si="15"/>
        <v>0.25596487588052569</v>
      </c>
      <c r="K103" s="141">
        <f t="shared" si="15"/>
        <v>0.26135394821102942</v>
      </c>
    </row>
    <row r="104" spans="2:11" ht="15" customHeight="1" x14ac:dyDescent="0.15">
      <c r="G104" s="79"/>
    </row>
    <row r="105" spans="2:11" ht="15" customHeight="1" x14ac:dyDescent="0.15">
      <c r="B105" s="133" t="s">
        <v>101</v>
      </c>
      <c r="C105" s="64"/>
      <c r="D105" s="65">
        <v>-2.5</v>
      </c>
      <c r="E105" s="65">
        <v>-2.5</v>
      </c>
      <c r="F105" s="65">
        <v>-2.5</v>
      </c>
      <c r="G105" s="142">
        <f ca="1">+G177</f>
        <v>-66.424080000000004</v>
      </c>
      <c r="H105" s="64">
        <f ca="1">+H177</f>
        <v>-66.184259999999995</v>
      </c>
      <c r="I105" s="64">
        <f ca="1">+I177</f>
        <v>-65.953499999999991</v>
      </c>
      <c r="J105" s="64">
        <f ca="1">+J177</f>
        <v>-65.951459999999997</v>
      </c>
      <c r="K105" s="64">
        <f ca="1">+K177</f>
        <v>-66.113640000000004</v>
      </c>
    </row>
    <row r="106" spans="2:11" ht="15" customHeight="1" x14ac:dyDescent="0.15">
      <c r="B106" s="52" t="s">
        <v>102</v>
      </c>
      <c r="C106" s="68" t="str">
        <f>""</f>
        <v/>
      </c>
      <c r="D106" s="68">
        <f t="shared" ref="D106:K106" si="16">+D102+SUM(D105)</f>
        <v>106.58360000000002</v>
      </c>
      <c r="E106" s="68">
        <f t="shared" si="16"/>
        <v>104.51849999999999</v>
      </c>
      <c r="F106" s="68">
        <f t="shared" si="16"/>
        <v>104.5</v>
      </c>
      <c r="G106" s="136">
        <f t="shared" ca="1" si="16"/>
        <v>33.766098571428586</v>
      </c>
      <c r="H106" s="68">
        <f t="shared" ca="1" si="16"/>
        <v>40.892468571428566</v>
      </c>
      <c r="I106" s="68">
        <f t="shared" ca="1" si="16"/>
        <v>48.417955571428536</v>
      </c>
      <c r="J106" s="68">
        <f t="shared" ca="1" si="16"/>
        <v>56.145690237678508</v>
      </c>
      <c r="K106" s="68">
        <f t="shared" ca="1" si="16"/>
        <v>64.164187837966011</v>
      </c>
    </row>
    <row r="107" spans="2:11" ht="15" customHeight="1" x14ac:dyDescent="0.15">
      <c r="G107" s="79"/>
    </row>
    <row r="108" spans="2:11" ht="15" customHeight="1" x14ac:dyDescent="0.15">
      <c r="B108" s="133" t="s">
        <v>103</v>
      </c>
      <c r="C108" s="64"/>
      <c r="D108" s="65">
        <v>-27.711735999999998</v>
      </c>
      <c r="E108" s="65">
        <v>-27.174810000000001</v>
      </c>
      <c r="F108" s="65">
        <v>-27.17</v>
      </c>
      <c r="G108" s="142">
        <f ca="1">IF(G106&gt;0,-G106*$G$16,0)</f>
        <v>-8.4415246428571464</v>
      </c>
      <c r="H108" s="64">
        <f ca="1">IF(H106&gt;0,-H106*$G$16,0)</f>
        <v>-10.223117142857141</v>
      </c>
      <c r="I108" s="64">
        <f ca="1">IF(I106&gt;0,-I106*$G$16,0)</f>
        <v>-12.104488892857134</v>
      </c>
      <c r="J108" s="64">
        <f ca="1">IF(J106&gt;0,-J106*$G$16,0)</f>
        <v>-14.036422559419627</v>
      </c>
      <c r="K108" s="64">
        <f ca="1">IF(K106&gt;0,-K106*$G$16,0)</f>
        <v>-16.041046959491503</v>
      </c>
    </row>
    <row r="109" spans="2:11" ht="15" customHeight="1" x14ac:dyDescent="0.15">
      <c r="B109" s="52" t="s">
        <v>104</v>
      </c>
      <c r="C109" s="68" t="str">
        <f>""</f>
        <v/>
      </c>
      <c r="D109" s="68">
        <f t="shared" ref="D109:K109" si="17">+D106+D108</f>
        <v>78.871864000000016</v>
      </c>
      <c r="E109" s="68">
        <f t="shared" si="17"/>
        <v>77.343689999999981</v>
      </c>
      <c r="F109" s="68">
        <f t="shared" si="17"/>
        <v>77.33</v>
      </c>
      <c r="G109" s="136">
        <f t="shared" ca="1" si="17"/>
        <v>25.324573928571439</v>
      </c>
      <c r="H109" s="68">
        <f t="shared" ca="1" si="17"/>
        <v>30.669351428571424</v>
      </c>
      <c r="I109" s="68">
        <f t="shared" ca="1" si="17"/>
        <v>36.313466678571402</v>
      </c>
      <c r="J109" s="68">
        <f t="shared" ca="1" si="17"/>
        <v>42.109267678258881</v>
      </c>
      <c r="K109" s="68">
        <f t="shared" ca="1" si="17"/>
        <v>48.123140878474508</v>
      </c>
    </row>
    <row r="110" spans="2:11" ht="15" customHeight="1" x14ac:dyDescent="0.15">
      <c r="B110" s="137" t="s">
        <v>96</v>
      </c>
      <c r="C110" s="138" t="str">
        <f>""</f>
        <v/>
      </c>
      <c r="D110" s="138">
        <f t="shared" ref="D110:K110" si="18">+IFERROR(D109/D$92,0)</f>
        <v>0.2143257173913044</v>
      </c>
      <c r="E110" s="138">
        <f t="shared" si="18"/>
        <v>0.20089270129870124</v>
      </c>
      <c r="F110" s="138">
        <f t="shared" si="18"/>
        <v>0.193325</v>
      </c>
      <c r="G110" s="140">
        <f t="shared" ca="1" si="18"/>
        <v>6.0585105092276173E-2</v>
      </c>
      <c r="H110" s="141">
        <f t="shared" ca="1" si="18"/>
        <v>7.0212109220419469E-2</v>
      </c>
      <c r="I110" s="141">
        <f t="shared" ca="1" si="18"/>
        <v>7.9553418829733075E-2</v>
      </c>
      <c r="J110" s="141">
        <f t="shared" ca="1" si="18"/>
        <v>8.8278010205017743E-2</v>
      </c>
      <c r="K110" s="141">
        <f t="shared" ca="1" si="18"/>
        <v>9.6541161897079286E-2</v>
      </c>
    </row>
    <row r="111" spans="2:11" ht="15" customHeight="1" x14ac:dyDescent="0.15">
      <c r="C111" s="6"/>
      <c r="G111" s="79"/>
    </row>
    <row r="112" spans="2:11" ht="15" customHeight="1" x14ac:dyDescent="0.15">
      <c r="B112" s="133" t="s">
        <v>105</v>
      </c>
      <c r="C112" s="74" t="str">
        <f>""</f>
        <v/>
      </c>
      <c r="D112" s="74">
        <f t="shared" ref="D112:K112" si="19">+-SUM(D105)</f>
        <v>2.5</v>
      </c>
      <c r="E112" s="74">
        <f t="shared" si="19"/>
        <v>2.5</v>
      </c>
      <c r="F112" s="74">
        <f t="shared" si="19"/>
        <v>2.5</v>
      </c>
      <c r="G112" s="135">
        <f t="shared" ca="1" si="19"/>
        <v>66.424080000000004</v>
      </c>
      <c r="H112" s="74">
        <f t="shared" ca="1" si="19"/>
        <v>66.184259999999995</v>
      </c>
      <c r="I112" s="74">
        <f t="shared" ca="1" si="19"/>
        <v>65.953499999999991</v>
      </c>
      <c r="J112" s="74">
        <f t="shared" ca="1" si="19"/>
        <v>65.951459999999997</v>
      </c>
      <c r="K112" s="74">
        <f t="shared" ca="1" si="19"/>
        <v>66.113640000000004</v>
      </c>
    </row>
    <row r="113" spans="2:11" ht="15" customHeight="1" x14ac:dyDescent="0.15">
      <c r="B113" s="133" t="s">
        <v>106</v>
      </c>
      <c r="C113" s="74" t="str">
        <f>""</f>
        <v/>
      </c>
      <c r="D113" s="74">
        <f t="shared" ref="D113:K113" si="20">+-D108</f>
        <v>27.711735999999998</v>
      </c>
      <c r="E113" s="74">
        <f t="shared" si="20"/>
        <v>27.174810000000001</v>
      </c>
      <c r="F113" s="74">
        <f t="shared" si="20"/>
        <v>27.17</v>
      </c>
      <c r="G113" s="135">
        <f t="shared" ca="1" si="20"/>
        <v>8.4415246428571464</v>
      </c>
      <c r="H113" s="74">
        <f t="shared" ca="1" si="20"/>
        <v>10.223117142857141</v>
      </c>
      <c r="I113" s="74">
        <f t="shared" ca="1" si="20"/>
        <v>12.104488892857134</v>
      </c>
      <c r="J113" s="74">
        <f t="shared" ca="1" si="20"/>
        <v>14.036422559419627</v>
      </c>
      <c r="K113" s="74">
        <f t="shared" ca="1" si="20"/>
        <v>16.041046959491503</v>
      </c>
    </row>
    <row r="114" spans="2:11" ht="15" customHeight="1" x14ac:dyDescent="0.15">
      <c r="B114" s="133" t="s">
        <v>107</v>
      </c>
      <c r="C114" s="74"/>
      <c r="D114" s="65">
        <v>9.1999999999999993</v>
      </c>
      <c r="E114" s="65">
        <v>9.625</v>
      </c>
      <c r="F114" s="65">
        <v>10</v>
      </c>
      <c r="G114" s="135">
        <f t="shared" ref="G114:K115" si="21">+G$92*G58</f>
        <v>10.450000000000001</v>
      </c>
      <c r="H114" s="74">
        <f t="shared" si="21"/>
        <v>17.472399999999997</v>
      </c>
      <c r="I114" s="74">
        <f t="shared" si="21"/>
        <v>18.258657999999997</v>
      </c>
      <c r="J114" s="74">
        <f t="shared" si="21"/>
        <v>19.080297609999995</v>
      </c>
      <c r="K114" s="74">
        <f t="shared" si="21"/>
        <v>19.938911002449995</v>
      </c>
    </row>
    <row r="115" spans="2:11" ht="15" customHeight="1" x14ac:dyDescent="0.15">
      <c r="B115" s="133" t="s">
        <v>108</v>
      </c>
      <c r="C115" s="74"/>
      <c r="D115" s="65">
        <v>2.76</v>
      </c>
      <c r="E115" s="65">
        <v>2.8875000000000002</v>
      </c>
      <c r="F115" s="65">
        <v>3</v>
      </c>
      <c r="G115" s="135">
        <f t="shared" si="21"/>
        <v>3.1349999999999998</v>
      </c>
      <c r="H115" s="74">
        <f t="shared" si="21"/>
        <v>4.3680999999999992</v>
      </c>
      <c r="I115" s="74">
        <f t="shared" si="21"/>
        <v>4.5646644999999992</v>
      </c>
      <c r="J115" s="74">
        <f t="shared" si="21"/>
        <v>4.7700744024999988</v>
      </c>
      <c r="K115" s="74">
        <f t="shared" si="21"/>
        <v>4.9847277506124987</v>
      </c>
    </row>
    <row r="116" spans="2:11" ht="15" customHeight="1" x14ac:dyDescent="0.15">
      <c r="B116" s="133" t="s">
        <v>109</v>
      </c>
      <c r="C116" s="74" t="str">
        <f>""</f>
        <v/>
      </c>
      <c r="D116" s="74">
        <f t="shared" ref="D116:K117" si="22">+-D100</f>
        <v>0</v>
      </c>
      <c r="E116" s="74">
        <f t="shared" si="22"/>
        <v>0</v>
      </c>
      <c r="F116" s="74">
        <f t="shared" si="22"/>
        <v>0</v>
      </c>
      <c r="G116" s="135">
        <f t="shared" si="22"/>
        <v>0.68571428571428572</v>
      </c>
      <c r="H116" s="74">
        <f t="shared" si="22"/>
        <v>0.68571428571428572</v>
      </c>
      <c r="I116" s="74">
        <f t="shared" si="22"/>
        <v>0.68571428571428572</v>
      </c>
      <c r="J116" s="74">
        <f t="shared" si="22"/>
        <v>0.68571428571428572</v>
      </c>
      <c r="K116" s="74">
        <f t="shared" si="22"/>
        <v>0.68571428571428572</v>
      </c>
    </row>
    <row r="117" spans="2:11" ht="15" customHeight="1" x14ac:dyDescent="0.15">
      <c r="B117" s="133" t="s">
        <v>110</v>
      </c>
      <c r="C117" s="74" t="str">
        <f>""</f>
        <v/>
      </c>
      <c r="D117" s="74">
        <f t="shared" si="22"/>
        <v>0</v>
      </c>
      <c r="E117" s="74">
        <f t="shared" si="22"/>
        <v>0</v>
      </c>
      <c r="F117" s="74">
        <f t="shared" si="22"/>
        <v>0</v>
      </c>
      <c r="G117" s="135">
        <f t="shared" si="22"/>
        <v>3.6241071428571425</v>
      </c>
      <c r="H117" s="74">
        <f t="shared" si="22"/>
        <v>3.6241071428571425</v>
      </c>
      <c r="I117" s="74">
        <f t="shared" si="22"/>
        <v>3.6241071428571425</v>
      </c>
      <c r="J117" s="74">
        <f t="shared" si="22"/>
        <v>3.6241071428571425</v>
      </c>
      <c r="K117" s="74">
        <f t="shared" si="22"/>
        <v>3.6241071428571425</v>
      </c>
    </row>
    <row r="118" spans="2:11" ht="15" customHeight="1" x14ac:dyDescent="0.15">
      <c r="B118" s="52" t="s">
        <v>111</v>
      </c>
      <c r="C118" s="68" t="str">
        <f>""</f>
        <v/>
      </c>
      <c r="D118" s="68">
        <f t="shared" ref="D118:K118" si="23">+D109+SUM(D112:D117)</f>
        <v>121.04360000000001</v>
      </c>
      <c r="E118" s="68">
        <f t="shared" si="23"/>
        <v>119.53099999999998</v>
      </c>
      <c r="F118" s="68">
        <f t="shared" si="23"/>
        <v>120</v>
      </c>
      <c r="G118" s="136">
        <f t="shared" ca="1" si="23"/>
        <v>118.08500000000002</v>
      </c>
      <c r="H118" s="68">
        <f t="shared" ca="1" si="23"/>
        <v>133.22704999999999</v>
      </c>
      <c r="I118" s="68">
        <f t="shared" ca="1" si="23"/>
        <v>141.50459949999996</v>
      </c>
      <c r="J118" s="68">
        <f t="shared" ca="1" si="23"/>
        <v>150.25734367874995</v>
      </c>
      <c r="K118" s="68">
        <f t="shared" ca="1" si="23"/>
        <v>159.51128801959993</v>
      </c>
    </row>
    <row r="119" spans="2:11" ht="15" customHeight="1" x14ac:dyDescent="0.15">
      <c r="B119" s="137" t="s">
        <v>96</v>
      </c>
      <c r="C119" s="138" t="str">
        <f>""</f>
        <v/>
      </c>
      <c r="D119" s="138">
        <f t="shared" ref="D119:K119" si="24">+IFERROR(D118/D$92,0)</f>
        <v>0.32892282608695655</v>
      </c>
      <c r="E119" s="138">
        <f t="shared" si="24"/>
        <v>0.31047012987012979</v>
      </c>
      <c r="F119" s="138">
        <f t="shared" si="24"/>
        <v>0.3</v>
      </c>
      <c r="G119" s="140">
        <f t="shared" ca="1" si="24"/>
        <v>0.28250000000000003</v>
      </c>
      <c r="H119" s="141">
        <f t="shared" ca="1" si="24"/>
        <v>0.30499999999999999</v>
      </c>
      <c r="I119" s="141">
        <f t="shared" ca="1" si="24"/>
        <v>0.31</v>
      </c>
      <c r="J119" s="141">
        <f t="shared" ca="1" si="24"/>
        <v>0.31499999999999995</v>
      </c>
      <c r="K119" s="141">
        <f t="shared" ca="1" si="24"/>
        <v>0.31999999999999995</v>
      </c>
    </row>
    <row r="121" spans="2:11" ht="15" customHeight="1" x14ac:dyDescent="0.15">
      <c r="B121" s="30" t="s">
        <v>112</v>
      </c>
      <c r="C121" s="30"/>
      <c r="D121" s="30"/>
      <c r="E121" s="30"/>
      <c r="F121" s="30"/>
      <c r="G121" s="30"/>
      <c r="H121" s="30"/>
      <c r="I121" s="30"/>
      <c r="J121" s="30"/>
      <c r="K121" s="30"/>
    </row>
    <row r="122" spans="2:11" ht="15" customHeight="1" x14ac:dyDescent="0.15">
      <c r="G122" s="79"/>
    </row>
    <row r="123" spans="2:11" ht="15" customHeight="1" x14ac:dyDescent="0.15">
      <c r="B123" s="143" t="s">
        <v>113</v>
      </c>
      <c r="C123" s="81"/>
      <c r="D123" s="81"/>
      <c r="E123" s="81"/>
      <c r="F123" s="81"/>
      <c r="G123" s="82" t="str">
        <f>G$2&amp;G$3</f>
        <v>2027E</v>
      </c>
      <c r="H123" s="81" t="str">
        <f>H$2&amp;H$3</f>
        <v>2028E</v>
      </c>
      <c r="I123" s="81" t="str">
        <f>I$2&amp;I$3</f>
        <v>2029E</v>
      </c>
      <c r="J123" s="81" t="str">
        <f>J$2&amp;J$3</f>
        <v>2030E</v>
      </c>
      <c r="K123" s="81" t="str">
        <f>K$2&amp;K$3</f>
        <v>2031E</v>
      </c>
    </row>
    <row r="124" spans="2:11" ht="15" customHeight="1" x14ac:dyDescent="0.15">
      <c r="B124" s="58" t="s">
        <v>104</v>
      </c>
      <c r="C124" s="74"/>
      <c r="D124" s="134"/>
      <c r="E124" s="134"/>
      <c r="F124" s="74"/>
      <c r="G124" s="135">
        <f ca="1">+G109</f>
        <v>25.324573928571439</v>
      </c>
      <c r="H124" s="74">
        <f ca="1">+H109</f>
        <v>30.669351428571424</v>
      </c>
      <c r="I124" s="74">
        <f ca="1">+I109</f>
        <v>36.313466678571402</v>
      </c>
      <c r="J124" s="74">
        <f ca="1">+J109</f>
        <v>42.109267678258881</v>
      </c>
      <c r="K124" s="74">
        <f ca="1">+K109</f>
        <v>48.123140878474508</v>
      </c>
    </row>
    <row r="125" spans="2:11" ht="15" customHeight="1" x14ac:dyDescent="0.15">
      <c r="B125" s="133" t="s">
        <v>107</v>
      </c>
      <c r="C125" s="74"/>
      <c r="D125" s="134"/>
      <c r="E125" s="134"/>
      <c r="F125" s="74"/>
      <c r="G125" s="135">
        <f t="shared" ref="G125:K128" si="25">+G114</f>
        <v>10.450000000000001</v>
      </c>
      <c r="H125" s="74">
        <f t="shared" si="25"/>
        <v>17.472399999999997</v>
      </c>
      <c r="I125" s="74">
        <f t="shared" si="25"/>
        <v>18.258657999999997</v>
      </c>
      <c r="J125" s="74">
        <f t="shared" si="25"/>
        <v>19.080297609999995</v>
      </c>
      <c r="K125" s="74">
        <f t="shared" si="25"/>
        <v>19.938911002449995</v>
      </c>
    </row>
    <row r="126" spans="2:11" ht="15" customHeight="1" x14ac:dyDescent="0.15">
      <c r="B126" s="133" t="s">
        <v>108</v>
      </c>
      <c r="C126" s="74"/>
      <c r="D126" s="134"/>
      <c r="E126" s="134"/>
      <c r="F126" s="74"/>
      <c r="G126" s="135">
        <f t="shared" si="25"/>
        <v>3.1349999999999998</v>
      </c>
      <c r="H126" s="74">
        <f t="shared" si="25"/>
        <v>4.3680999999999992</v>
      </c>
      <c r="I126" s="74">
        <f t="shared" si="25"/>
        <v>4.5646644999999992</v>
      </c>
      <c r="J126" s="74">
        <f t="shared" si="25"/>
        <v>4.7700744024999988</v>
      </c>
      <c r="K126" s="74">
        <f t="shared" si="25"/>
        <v>4.9847277506124987</v>
      </c>
    </row>
    <row r="127" spans="2:11" ht="15" customHeight="1" x14ac:dyDescent="0.15">
      <c r="B127" s="133" t="s">
        <v>109</v>
      </c>
      <c r="C127" s="74"/>
      <c r="D127" s="134"/>
      <c r="E127" s="134"/>
      <c r="F127" s="74"/>
      <c r="G127" s="135">
        <f t="shared" si="25"/>
        <v>0.68571428571428572</v>
      </c>
      <c r="H127" s="74">
        <f t="shared" si="25"/>
        <v>0.68571428571428572</v>
      </c>
      <c r="I127" s="74">
        <f t="shared" si="25"/>
        <v>0.68571428571428572</v>
      </c>
      <c r="J127" s="74">
        <f t="shared" si="25"/>
        <v>0.68571428571428572</v>
      </c>
      <c r="K127" s="74">
        <f t="shared" si="25"/>
        <v>0.68571428571428572</v>
      </c>
    </row>
    <row r="128" spans="2:11" ht="15" customHeight="1" x14ac:dyDescent="0.15">
      <c r="B128" s="133" t="s">
        <v>110</v>
      </c>
      <c r="C128" s="74"/>
      <c r="D128" s="134"/>
      <c r="E128" s="134"/>
      <c r="F128" s="74"/>
      <c r="G128" s="135">
        <f t="shared" si="25"/>
        <v>3.6241071428571425</v>
      </c>
      <c r="H128" s="74">
        <f t="shared" si="25"/>
        <v>3.6241071428571425</v>
      </c>
      <c r="I128" s="74">
        <f t="shared" si="25"/>
        <v>3.6241071428571425</v>
      </c>
      <c r="J128" s="74">
        <f t="shared" si="25"/>
        <v>3.6241071428571425</v>
      </c>
      <c r="K128" s="74">
        <f t="shared" si="25"/>
        <v>3.6241071428571425</v>
      </c>
    </row>
    <row r="129" spans="2:11" ht="15" customHeight="1" x14ac:dyDescent="0.15">
      <c r="B129" s="133" t="s">
        <v>114</v>
      </c>
      <c r="C129" s="74"/>
      <c r="D129" s="134"/>
      <c r="E129" s="134"/>
      <c r="F129" s="74"/>
      <c r="G129" s="135">
        <f>+-G151</f>
        <v>-0.45000000000000107</v>
      </c>
      <c r="H129" s="74">
        <f>+-H151</f>
        <v>-0.47024999999999828</v>
      </c>
      <c r="I129" s="74">
        <f>+-I151</f>
        <v>-0.49141124999999874</v>
      </c>
      <c r="J129" s="74">
        <f>+-J151</f>
        <v>-0.51352475624999983</v>
      </c>
      <c r="K129" s="74">
        <f>+-K151</f>
        <v>-0.53663337028124936</v>
      </c>
    </row>
    <row r="130" spans="2:11" ht="15" customHeight="1" x14ac:dyDescent="0.15">
      <c r="B130" s="133" t="s">
        <v>115</v>
      </c>
      <c r="C130" s="74"/>
      <c r="D130" s="134"/>
      <c r="E130" s="134"/>
      <c r="F130" s="74"/>
      <c r="G130" s="135">
        <f>+-G147</f>
        <v>-25.080000000000002</v>
      </c>
      <c r="H130" s="74">
        <f>+-H147</f>
        <v>-26.208599999999997</v>
      </c>
      <c r="I130" s="74">
        <f>+-I147</f>
        <v>-27.387986999999995</v>
      </c>
      <c r="J130" s="74">
        <f>+-J147</f>
        <v>-28.620446414999996</v>
      </c>
      <c r="K130" s="74">
        <f>+-K147</f>
        <v>-29.908366503674998</v>
      </c>
    </row>
    <row r="131" spans="2:11" ht="15" customHeight="1" x14ac:dyDescent="0.15">
      <c r="B131" s="133" t="s">
        <v>116</v>
      </c>
      <c r="C131" s="74"/>
      <c r="D131" s="134"/>
      <c r="E131" s="134"/>
      <c r="F131" s="74"/>
      <c r="G131" s="135">
        <f ca="1">SUM(G124:G130)</f>
        <v>17.68939535714286</v>
      </c>
      <c r="H131" s="74">
        <f ca="1">SUM(H124:H130)</f>
        <v>30.140822857142851</v>
      </c>
      <c r="I131" s="74">
        <f ca="1">SUM(I124:I130)</f>
        <v>35.567212357142829</v>
      </c>
      <c r="J131" s="74">
        <f ca="1">SUM(J124:J130)</f>
        <v>41.135489948080313</v>
      </c>
      <c r="K131" s="74">
        <f ca="1">SUM(K124:K130)</f>
        <v>46.911601186152168</v>
      </c>
    </row>
    <row r="132" spans="2:11" ht="15" customHeight="1" x14ac:dyDescent="0.15">
      <c r="B132" s="144" t="s">
        <v>207</v>
      </c>
      <c r="C132" s="145"/>
      <c r="D132" s="145"/>
      <c r="E132" s="145"/>
      <c r="F132" s="145"/>
      <c r="G132" s="146">
        <f ca="1">G166</f>
        <v>0</v>
      </c>
      <c r="H132" s="145">
        <f ca="1">H166</f>
        <v>0</v>
      </c>
      <c r="I132" s="145">
        <f ca="1">I166</f>
        <v>0</v>
      </c>
      <c r="J132" s="145">
        <f ca="1">J166</f>
        <v>0</v>
      </c>
      <c r="K132" s="145">
        <f ca="1">K166</f>
        <v>0</v>
      </c>
    </row>
    <row r="133" spans="2:11" ht="15" customHeight="1" x14ac:dyDescent="0.15">
      <c r="B133" s="133" t="s">
        <v>208</v>
      </c>
      <c r="C133" s="74"/>
      <c r="D133" s="134"/>
      <c r="E133" s="134"/>
      <c r="F133" s="74"/>
      <c r="G133" s="135">
        <f>G165</f>
        <v>-4.8</v>
      </c>
      <c r="H133" s="74">
        <f ca="1">H165</f>
        <v>-4.8</v>
      </c>
      <c r="I133" s="74">
        <f ca="1">I165</f>
        <v>-4.8</v>
      </c>
      <c r="J133" s="74">
        <f ca="1">J165</f>
        <v>-4.8</v>
      </c>
      <c r="K133" s="74">
        <f ca="1">K165</f>
        <v>-4.8</v>
      </c>
    </row>
    <row r="134" spans="2:11" ht="15" customHeight="1" x14ac:dyDescent="0.15">
      <c r="B134" s="133" t="s">
        <v>209</v>
      </c>
      <c r="C134" s="74"/>
      <c r="D134" s="134"/>
      <c r="E134" s="134"/>
      <c r="F134" s="74"/>
      <c r="G134" s="135">
        <f ca="1">G171</f>
        <v>0</v>
      </c>
      <c r="H134" s="74">
        <f ca="1">H171</f>
        <v>0</v>
      </c>
      <c r="I134" s="74">
        <f ca="1">I171</f>
        <v>0</v>
      </c>
      <c r="J134" s="74">
        <f ca="1">J171</f>
        <v>0</v>
      </c>
      <c r="K134" s="74">
        <f ca="1">K171</f>
        <v>0</v>
      </c>
    </row>
    <row r="135" spans="2:11" x14ac:dyDescent="0.15">
      <c r="B135" s="52" t="s">
        <v>210</v>
      </c>
      <c r="C135" s="68"/>
      <c r="D135" s="68"/>
      <c r="E135" s="68"/>
      <c r="F135" s="68"/>
      <c r="G135" s="136">
        <f ca="1">SUM(G131:G134)</f>
        <v>12.88939535714286</v>
      </c>
      <c r="H135" s="68">
        <f ca="1">SUM(H131:H134)</f>
        <v>25.34082285714285</v>
      </c>
      <c r="I135" s="68">
        <f ca="1">SUM(I131:I134)</f>
        <v>30.767212357142828</v>
      </c>
      <c r="J135" s="68">
        <f ca="1">SUM(J131:J134)</f>
        <v>36.335489948080316</v>
      </c>
      <c r="K135" s="68">
        <f ca="1">SUM(K131:K134)</f>
        <v>42.111601186152171</v>
      </c>
    </row>
    <row r="136" spans="2:11" ht="15" customHeight="1" x14ac:dyDescent="0.15">
      <c r="B136" s="30" t="s">
        <v>211</v>
      </c>
      <c r="C136" s="30"/>
      <c r="D136" s="30"/>
      <c r="E136" s="30"/>
      <c r="F136" s="30"/>
      <c r="G136" s="30"/>
      <c r="H136" s="30"/>
      <c r="I136" s="30"/>
      <c r="J136" s="30"/>
      <c r="K136" s="30"/>
    </row>
    <row r="137" spans="2:11" ht="15" customHeight="1" x14ac:dyDescent="0.15">
      <c r="F137" s="81"/>
      <c r="G137" s="79"/>
    </row>
    <row r="138" spans="2:11" ht="15" customHeight="1" x14ac:dyDescent="0.15">
      <c r="B138" s="143"/>
      <c r="C138" s="81"/>
      <c r="D138" s="81"/>
      <c r="E138" s="81"/>
      <c r="F138" s="81"/>
      <c r="G138" s="82" t="str">
        <f>G$2&amp;G$3</f>
        <v>2027E</v>
      </c>
      <c r="H138" s="81" t="str">
        <f>H$2&amp;H$3</f>
        <v>2028E</v>
      </c>
      <c r="I138" s="81" t="str">
        <f>I$2&amp;I$3</f>
        <v>2029E</v>
      </c>
      <c r="J138" s="81" t="str">
        <f>J$2&amp;J$3</f>
        <v>2030E</v>
      </c>
      <c r="K138" s="81" t="str">
        <f>K$2&amp;K$3</f>
        <v>2031E</v>
      </c>
    </row>
    <row r="139" spans="2:11" ht="15" customHeight="1" x14ac:dyDescent="0.15">
      <c r="B139" s="143" t="s">
        <v>117</v>
      </c>
      <c r="C139" s="81"/>
      <c r="D139" s="81"/>
      <c r="E139" s="81"/>
      <c r="F139" s="81"/>
      <c r="G139" s="82"/>
      <c r="H139" s="81"/>
      <c r="I139" s="81"/>
      <c r="J139" s="81"/>
      <c r="K139" s="81"/>
    </row>
    <row r="140" spans="2:11" ht="15" customHeight="1" x14ac:dyDescent="0.15">
      <c r="B140" s="58" t="s">
        <v>118</v>
      </c>
      <c r="C140" s="74"/>
      <c r="D140" s="134"/>
      <c r="E140" s="134"/>
      <c r="F140" s="74"/>
      <c r="G140" s="135">
        <f>F142</f>
        <v>10</v>
      </c>
      <c r="H140" s="74">
        <f ca="1">G142</f>
        <v>22.88939535714286</v>
      </c>
      <c r="I140" s="74">
        <f ca="1">H142</f>
        <v>48.230218214285713</v>
      </c>
      <c r="J140" s="74">
        <f ca="1">I142</f>
        <v>78.997430571428538</v>
      </c>
      <c r="K140" s="74">
        <f ca="1">J142</f>
        <v>115.33292051950886</v>
      </c>
    </row>
    <row r="141" spans="2:11" ht="15" customHeight="1" x14ac:dyDescent="0.15">
      <c r="B141" s="133" t="s">
        <v>119</v>
      </c>
      <c r="C141" s="74"/>
      <c r="D141" s="134"/>
      <c r="E141" s="134"/>
      <c r="F141" s="74"/>
      <c r="G141" s="135">
        <f ca="1">G135</f>
        <v>12.88939535714286</v>
      </c>
      <c r="H141" s="74">
        <f ca="1">H135</f>
        <v>25.34082285714285</v>
      </c>
      <c r="I141" s="74">
        <f ca="1">I135</f>
        <v>30.767212357142828</v>
      </c>
      <c r="J141" s="74">
        <f ca="1">J135</f>
        <v>36.335489948080316</v>
      </c>
      <c r="K141" s="74">
        <f ca="1">K135</f>
        <v>42.111601186152171</v>
      </c>
    </row>
    <row r="142" spans="2:11" ht="15" customHeight="1" x14ac:dyDescent="0.15">
      <c r="B142" s="52" t="s">
        <v>120</v>
      </c>
      <c r="C142" s="68"/>
      <c r="D142" s="68"/>
      <c r="E142" s="68"/>
      <c r="F142" s="68">
        <f>$G$17</f>
        <v>10</v>
      </c>
      <c r="G142" s="136">
        <f ca="1">SUM(G140:G141)</f>
        <v>22.88939535714286</v>
      </c>
      <c r="H142" s="68">
        <f ca="1">SUM(H140:H141)</f>
        <v>48.230218214285713</v>
      </c>
      <c r="I142" s="68">
        <f ca="1">SUM(I140:I141)</f>
        <v>78.997430571428538</v>
      </c>
      <c r="J142" s="68">
        <f ca="1">SUM(J140:J141)</f>
        <v>115.33292051950886</v>
      </c>
      <c r="K142" s="68">
        <f ca="1">SUM(K140:K141)</f>
        <v>157.44452170566103</v>
      </c>
    </row>
    <row r="143" spans="2:11" ht="15" customHeight="1" x14ac:dyDescent="0.15">
      <c r="G143" s="79"/>
    </row>
    <row r="144" spans="2:11" ht="15" customHeight="1" x14ac:dyDescent="0.15">
      <c r="B144" s="143" t="s">
        <v>121</v>
      </c>
      <c r="C144" s="81"/>
      <c r="D144" s="81"/>
      <c r="E144" s="81"/>
      <c r="F144" s="81"/>
      <c r="G144" s="82"/>
      <c r="H144" s="81"/>
      <c r="I144" s="81"/>
      <c r="J144" s="81"/>
      <c r="K144" s="81"/>
    </row>
    <row r="145" spans="2:12" ht="15" customHeight="1" x14ac:dyDescent="0.15">
      <c r="B145" s="133" t="s">
        <v>122</v>
      </c>
      <c r="C145" s="74"/>
      <c r="D145" s="65">
        <v>7.4</v>
      </c>
      <c r="E145" s="65">
        <v>8.8000000000000007</v>
      </c>
      <c r="F145" s="65">
        <v>9.4</v>
      </c>
      <c r="G145" s="135">
        <f t="shared" ref="G145:K146" si="26">+G$92*G62</f>
        <v>10.450000000000001</v>
      </c>
      <c r="H145" s="74">
        <f t="shared" si="26"/>
        <v>10.920249999999999</v>
      </c>
      <c r="I145" s="74">
        <f t="shared" si="26"/>
        <v>11.411661249999998</v>
      </c>
      <c r="J145" s="74">
        <f t="shared" si="26"/>
        <v>11.925186006249998</v>
      </c>
      <c r="K145" s="74">
        <f t="shared" si="26"/>
        <v>12.461819376531247</v>
      </c>
    </row>
    <row r="146" spans="2:12" ht="15" customHeight="1" x14ac:dyDescent="0.15">
      <c r="B146" s="133" t="s">
        <v>123</v>
      </c>
      <c r="C146" s="74"/>
      <c r="D146" s="65">
        <v>11.1</v>
      </c>
      <c r="E146" s="65">
        <v>13.2</v>
      </c>
      <c r="F146" s="65">
        <v>14.1</v>
      </c>
      <c r="G146" s="135">
        <f t="shared" si="26"/>
        <v>14.63</v>
      </c>
      <c r="H146" s="74">
        <f t="shared" si="26"/>
        <v>15.288349999999999</v>
      </c>
      <c r="I146" s="74">
        <f t="shared" si="26"/>
        <v>15.976325749999997</v>
      </c>
      <c r="J146" s="74">
        <f t="shared" si="26"/>
        <v>16.695260408749999</v>
      </c>
      <c r="K146" s="74">
        <f t="shared" si="26"/>
        <v>17.446547127143749</v>
      </c>
    </row>
    <row r="147" spans="2:12" ht="15" customHeight="1" x14ac:dyDescent="0.15">
      <c r="B147" s="52" t="s">
        <v>124</v>
      </c>
      <c r="C147" s="68" t="str">
        <f>""</f>
        <v/>
      </c>
      <c r="D147" s="68">
        <f t="shared" ref="D147:K147" si="27">+SUM(D145:D146)</f>
        <v>18.5</v>
      </c>
      <c r="E147" s="68">
        <f t="shared" si="27"/>
        <v>22</v>
      </c>
      <c r="F147" s="68">
        <f t="shared" si="27"/>
        <v>23.5</v>
      </c>
      <c r="G147" s="136">
        <f t="shared" si="27"/>
        <v>25.080000000000002</v>
      </c>
      <c r="H147" s="68">
        <f t="shared" si="27"/>
        <v>26.208599999999997</v>
      </c>
      <c r="I147" s="68">
        <f t="shared" si="27"/>
        <v>27.387986999999995</v>
      </c>
      <c r="J147" s="68">
        <f t="shared" si="27"/>
        <v>28.620446414999996</v>
      </c>
      <c r="K147" s="68">
        <f t="shared" si="27"/>
        <v>29.908366503674998</v>
      </c>
    </row>
    <row r="149" spans="2:12" ht="15" customHeight="1" x14ac:dyDescent="0.15">
      <c r="B149" s="143" t="s">
        <v>125</v>
      </c>
      <c r="C149" s="81"/>
      <c r="D149" s="81"/>
      <c r="E149" s="81"/>
      <c r="F149" s="81"/>
      <c r="G149" s="82"/>
      <c r="H149" s="81"/>
      <c r="I149" s="81"/>
      <c r="J149" s="81"/>
      <c r="K149" s="81"/>
    </row>
    <row r="150" spans="2:12" ht="15" customHeight="1" x14ac:dyDescent="0.15">
      <c r="B150" s="58" t="s">
        <v>126</v>
      </c>
      <c r="C150" s="74"/>
      <c r="D150" s="65">
        <v>9.1999999999999993</v>
      </c>
      <c r="E150" s="65">
        <v>9.625</v>
      </c>
      <c r="F150" s="65">
        <v>10</v>
      </c>
      <c r="G150" s="135">
        <f>+G$92*G66</f>
        <v>10.450000000000001</v>
      </c>
      <c r="H150" s="74">
        <f>+H$92*H66</f>
        <v>10.920249999999999</v>
      </c>
      <c r="I150" s="74">
        <f>+I$92*I66</f>
        <v>11.411661249999998</v>
      </c>
      <c r="J150" s="74">
        <f>+J$92*J66</f>
        <v>11.925186006249998</v>
      </c>
      <c r="K150" s="74">
        <f>+K$92*K66</f>
        <v>12.461819376531247</v>
      </c>
    </row>
    <row r="151" spans="2:12" ht="15" customHeight="1" x14ac:dyDescent="0.15">
      <c r="B151" s="147" t="s">
        <v>127</v>
      </c>
      <c r="C151" s="148" t="str">
        <f>""</f>
        <v/>
      </c>
      <c r="D151" s="176" t="str">
        <f>""</f>
        <v/>
      </c>
      <c r="E151" s="176" t="str">
        <f>""</f>
        <v/>
      </c>
      <c r="F151" s="148" t="str">
        <f>""</f>
        <v/>
      </c>
      <c r="G151" s="149">
        <f>+IFERROR(G150-F150,0)</f>
        <v>0.45000000000000107</v>
      </c>
      <c r="H151" s="148">
        <f>+IFERROR(H150-G150,0)</f>
        <v>0.47024999999999828</v>
      </c>
      <c r="I151" s="148">
        <f>+IFERROR(I150-H150,0)</f>
        <v>0.49141124999999874</v>
      </c>
      <c r="J151" s="148">
        <f>+IFERROR(J150-I150,0)</f>
        <v>0.51352475624999983</v>
      </c>
      <c r="K151" s="148">
        <f>+IFERROR(K150-J150,0)</f>
        <v>0.53663337028124936</v>
      </c>
    </row>
    <row r="153" spans="2:12" ht="15" customHeight="1" x14ac:dyDescent="0.15">
      <c r="B153" s="30" t="s">
        <v>128</v>
      </c>
      <c r="C153" s="30"/>
      <c r="D153" s="30"/>
      <c r="E153" s="30"/>
      <c r="F153" s="30"/>
      <c r="G153" s="30"/>
      <c r="H153" s="30"/>
      <c r="I153" s="30"/>
      <c r="J153" s="30"/>
      <c r="K153" s="30"/>
    </row>
    <row r="154" spans="2:12" ht="15" customHeight="1" x14ac:dyDescent="0.15">
      <c r="G154" s="79"/>
    </row>
    <row r="155" spans="2:12" ht="30" customHeight="1" x14ac:dyDescent="0.15">
      <c r="B155" s="143" t="s">
        <v>129</v>
      </c>
      <c r="F155" s="172" t="str">
        <f>F$2&amp;" Pro Forma Close"</f>
        <v>2026 Pro Forma Close</v>
      </c>
      <c r="G155" s="82" t="str">
        <f>G$2&amp;G$3</f>
        <v>2027E</v>
      </c>
      <c r="H155" s="81" t="str">
        <f>H$2&amp;H$3</f>
        <v>2028E</v>
      </c>
      <c r="I155" s="81" t="str">
        <f>I$2&amp;I$3</f>
        <v>2029E</v>
      </c>
      <c r="J155" s="81" t="str">
        <f>J$2&amp;J$3</f>
        <v>2030E</v>
      </c>
      <c r="K155" s="81" t="str">
        <f>K$2&amp;K$3</f>
        <v>2031E</v>
      </c>
    </row>
    <row r="156" spans="2:12" ht="15" customHeight="1" x14ac:dyDescent="0.15">
      <c r="B156" s="133" t="str">
        <f>B25</f>
        <v>New Revolving Credit Facility ($300)</v>
      </c>
      <c r="F156" s="74">
        <f>C25</f>
        <v>0</v>
      </c>
      <c r="G156" s="135">
        <f ca="1">MAX(0,F156+G166+G162+G168)</f>
        <v>0</v>
      </c>
      <c r="H156" s="74">
        <f ca="1">MAX(0,G156+H166+H162+H168)</f>
        <v>0</v>
      </c>
      <c r="I156" s="74">
        <f ca="1">MAX(0,H156+I166+I162+I168)</f>
        <v>0</v>
      </c>
      <c r="J156" s="74">
        <f ca="1">MAX(0,I156+J166+J162+J168)</f>
        <v>0</v>
      </c>
      <c r="K156" s="74">
        <f ca="1">MAX(0,J156+K166+K162+K168)</f>
        <v>0</v>
      </c>
    </row>
    <row r="157" spans="2:12" ht="15" customHeight="1" x14ac:dyDescent="0.15">
      <c r="B157" s="133" t="str">
        <f>B26</f>
        <v>New First Lien Term Loan</v>
      </c>
      <c r="F157" s="74">
        <f>C26</f>
        <v>480</v>
      </c>
      <c r="G157" s="135">
        <f t="shared" ref="G157:K158" ca="1" si="28">MAX(0,F157+G163+G169)</f>
        <v>475.2</v>
      </c>
      <c r="H157" s="74">
        <f t="shared" ca="1" si="28"/>
        <v>470.4</v>
      </c>
      <c r="I157" s="74">
        <f t="shared" ca="1" si="28"/>
        <v>465.59999999999997</v>
      </c>
      <c r="J157" s="74">
        <f t="shared" ca="1" si="28"/>
        <v>460.79999999999995</v>
      </c>
      <c r="K157" s="74">
        <f t="shared" ca="1" si="28"/>
        <v>455.99999999999994</v>
      </c>
      <c r="L157" s="64"/>
    </row>
    <row r="158" spans="2:12" ht="15" customHeight="1" x14ac:dyDescent="0.15">
      <c r="B158" s="133" t="str">
        <f>B27</f>
        <v>New Senior Unsecured Notes</v>
      </c>
      <c r="F158" s="74">
        <f>C27</f>
        <v>355</v>
      </c>
      <c r="G158" s="135">
        <f t="shared" si="28"/>
        <v>355</v>
      </c>
      <c r="H158" s="74">
        <f t="shared" si="28"/>
        <v>355</v>
      </c>
      <c r="I158" s="74">
        <f t="shared" si="28"/>
        <v>355</v>
      </c>
      <c r="J158" s="74">
        <f t="shared" si="28"/>
        <v>355</v>
      </c>
      <c r="K158" s="74">
        <f t="shared" si="28"/>
        <v>355</v>
      </c>
    </row>
    <row r="159" spans="2:12" ht="15" customHeight="1" x14ac:dyDescent="0.15">
      <c r="B159" s="52" t="s">
        <v>130</v>
      </c>
      <c r="C159" s="68"/>
      <c r="D159" s="68"/>
      <c r="E159" s="68"/>
      <c r="F159" s="68">
        <f t="shared" ref="F159:K159" si="29">SUM(F156:F158)</f>
        <v>835</v>
      </c>
      <c r="G159" s="136">
        <f t="shared" ca="1" si="29"/>
        <v>830.2</v>
      </c>
      <c r="H159" s="68">
        <f t="shared" ca="1" si="29"/>
        <v>825.4</v>
      </c>
      <c r="I159" s="68">
        <f t="shared" ca="1" si="29"/>
        <v>820.59999999999991</v>
      </c>
      <c r="J159" s="68">
        <f t="shared" ca="1" si="29"/>
        <v>815.8</v>
      </c>
      <c r="K159" s="68">
        <f t="shared" ca="1" si="29"/>
        <v>811</v>
      </c>
    </row>
    <row r="160" spans="2:12" ht="15" customHeight="1" x14ac:dyDescent="0.15">
      <c r="F160" s="6"/>
      <c r="G160" s="79"/>
      <c r="H160" s="6"/>
      <c r="I160" s="6"/>
      <c r="J160" s="6"/>
      <c r="K160" s="6"/>
    </row>
    <row r="161" spans="2:11" ht="15" customHeight="1" x14ac:dyDescent="0.15">
      <c r="B161" s="143" t="s">
        <v>131</v>
      </c>
      <c r="C161" s="125" t="s">
        <v>132</v>
      </c>
      <c r="D161" s="125" t="s">
        <v>47</v>
      </c>
      <c r="E161" s="8"/>
      <c r="F161" s="8"/>
      <c r="G161" s="79"/>
      <c r="H161" s="8"/>
      <c r="I161" s="8"/>
      <c r="J161" s="8"/>
      <c r="K161" s="8"/>
    </row>
    <row r="162" spans="2:11" ht="15" customHeight="1" x14ac:dyDescent="0.15">
      <c r="B162" s="133" t="str">
        <f>B25</f>
        <v>New Revolving Credit Facility ($300)</v>
      </c>
      <c r="C162" s="150">
        <f>$G$8</f>
        <v>300</v>
      </c>
      <c r="D162" s="151">
        <f>E25</f>
        <v>0</v>
      </c>
      <c r="F162" s="74"/>
      <c r="G162" s="135">
        <f t="shared" ref="G162:K164" si="30">-MIN(F156,$C162*$D162)</f>
        <v>0</v>
      </c>
      <c r="H162" s="74">
        <f t="shared" ca="1" si="30"/>
        <v>0</v>
      </c>
      <c r="I162" s="74">
        <f t="shared" ca="1" si="30"/>
        <v>0</v>
      </c>
      <c r="J162" s="74">
        <f t="shared" ca="1" si="30"/>
        <v>0</v>
      </c>
      <c r="K162" s="74">
        <f t="shared" ca="1" si="30"/>
        <v>0</v>
      </c>
    </row>
    <row r="163" spans="2:11" ht="15" customHeight="1" x14ac:dyDescent="0.15">
      <c r="B163" s="133" t="str">
        <f>B26</f>
        <v>New First Lien Term Loan</v>
      </c>
      <c r="C163" s="152">
        <f>C26</f>
        <v>480</v>
      </c>
      <c r="D163" s="151">
        <f>E26</f>
        <v>0.01</v>
      </c>
      <c r="F163" s="74"/>
      <c r="G163" s="135">
        <f t="shared" si="30"/>
        <v>-4.8</v>
      </c>
      <c r="H163" s="74">
        <f t="shared" ca="1" si="30"/>
        <v>-4.8</v>
      </c>
      <c r="I163" s="74">
        <f t="shared" ca="1" si="30"/>
        <v>-4.8</v>
      </c>
      <c r="J163" s="74">
        <f t="shared" ca="1" si="30"/>
        <v>-4.8</v>
      </c>
      <c r="K163" s="74">
        <f t="shared" ca="1" si="30"/>
        <v>-4.8</v>
      </c>
    </row>
    <row r="164" spans="2:11" ht="15" customHeight="1" x14ac:dyDescent="0.15">
      <c r="B164" s="133" t="str">
        <f>B27</f>
        <v>New Senior Unsecured Notes</v>
      </c>
      <c r="C164" s="153">
        <f>C27</f>
        <v>355</v>
      </c>
      <c r="D164" s="154">
        <f>E27</f>
        <v>0</v>
      </c>
      <c r="F164" s="74"/>
      <c r="G164" s="135">
        <f t="shared" si="30"/>
        <v>0</v>
      </c>
      <c r="H164" s="74">
        <f t="shared" si="30"/>
        <v>0</v>
      </c>
      <c r="I164" s="74">
        <f t="shared" si="30"/>
        <v>0</v>
      </c>
      <c r="J164" s="74">
        <f t="shared" si="30"/>
        <v>0</v>
      </c>
      <c r="K164" s="74">
        <f t="shared" si="30"/>
        <v>0</v>
      </c>
    </row>
    <row r="165" spans="2:11" ht="15" customHeight="1" x14ac:dyDescent="0.15">
      <c r="B165" s="52" t="s">
        <v>133</v>
      </c>
      <c r="C165" s="68"/>
      <c r="D165" s="68"/>
      <c r="E165" s="68"/>
      <c r="F165" s="68"/>
      <c r="G165" s="136">
        <f>SUM(G162:G164)</f>
        <v>-4.8</v>
      </c>
      <c r="H165" s="68">
        <f ca="1">SUM(H162:H164)</f>
        <v>-4.8</v>
      </c>
      <c r="I165" s="68">
        <f ca="1">SUM(I162:I164)</f>
        <v>-4.8</v>
      </c>
      <c r="J165" s="68">
        <f ca="1">SUM(J162:J164)</f>
        <v>-4.8</v>
      </c>
      <c r="K165" s="68">
        <f ca="1">SUM(K162:K164)</f>
        <v>-4.8</v>
      </c>
    </row>
    <row r="166" spans="2:11" ht="15" customHeight="1" x14ac:dyDescent="0.15">
      <c r="B166" s="4" t="s">
        <v>134</v>
      </c>
      <c r="F166" s="6"/>
      <c r="G166" s="7">
        <f ca="1">MIN(MAX(0,$G$17-(G140+G131+G165)),MAX(0,$G$8-(F156+G162)))</f>
        <v>0</v>
      </c>
      <c r="H166" s="7">
        <f ca="1">MIN(MAX(0,$G$17-(H140+H131+H165)),MAX(0,$G$8-(G156+H162)))</f>
        <v>0</v>
      </c>
      <c r="I166" s="7">
        <f ca="1">MIN(MAX(0,$G$17-(I140+I131+I165)),MAX(0,$G$8-(H156+I162)))</f>
        <v>0</v>
      </c>
      <c r="J166" s="7">
        <f ca="1">MIN(MAX(0,$G$17-(J140+J131+J165)),MAX(0,$G$8-(I156+J162)))</f>
        <v>0</v>
      </c>
      <c r="K166" s="7">
        <f ca="1">MIN(MAX(0,$G$17-(K140+K131+K165)),MAX(0,$G$8-(J156+K162)))</f>
        <v>0</v>
      </c>
    </row>
    <row r="167" spans="2:11" ht="15" customHeight="1" x14ac:dyDescent="0.15">
      <c r="B167" s="143" t="s">
        <v>212</v>
      </c>
      <c r="C167" s="9"/>
      <c r="D167" s="9"/>
      <c r="E167" s="9"/>
      <c r="F167" s="10"/>
      <c r="G167" s="11">
        <f ca="1">MAX(0,MIN(G131+G165,G140+G131+G165+G166-$G$17))</f>
        <v>12.88939535714286</v>
      </c>
      <c r="H167" s="11">
        <f ca="1">MAX(0,MIN(H131+H165,H140+H131+H165+H166-$G$17))</f>
        <v>25.34082285714285</v>
      </c>
      <c r="I167" s="11">
        <f ca="1">MAX(0,MIN(I131+I165,I140+I131+I165+I166-$G$17))</f>
        <v>30.767212357142828</v>
      </c>
      <c r="J167" s="11">
        <f ca="1">MAX(0,MIN(J131+J165,J140+J131+J165+J166-$G$17))</f>
        <v>36.335489948080316</v>
      </c>
      <c r="K167" s="11">
        <f ca="1">MAX(0,MIN(K131+K165,K140+K131+K165+K166-$G$17))</f>
        <v>42.111601186152171</v>
      </c>
    </row>
    <row r="168" spans="2:11" ht="15" customHeight="1" x14ac:dyDescent="0.15">
      <c r="B168" s="133" t="str">
        <f>B25</f>
        <v>New Revolving Credit Facility ($300)</v>
      </c>
      <c r="F168" s="74"/>
      <c r="G168" s="135">
        <f ca="1">-MIN(MAX(0,F156+G166+G162),G167*$G$11)</f>
        <v>0</v>
      </c>
      <c r="H168" s="74">
        <f ca="1">-MIN(MAX(0,G156+H166+H162),H167*$G$11)</f>
        <v>0</v>
      </c>
      <c r="I168" s="74">
        <f ca="1">-MIN(MAX(0,H156+I166+I162),I167*$G$11)</f>
        <v>0</v>
      </c>
      <c r="J168" s="74">
        <f ca="1">-MIN(MAX(0,I156+J166+J162),J167*$G$11)</f>
        <v>0</v>
      </c>
      <c r="K168" s="74">
        <f ca="1">-MIN(MAX(0,J156+K166+K162),K167*$G$11)</f>
        <v>0</v>
      </c>
    </row>
    <row r="169" spans="2:11" ht="15" customHeight="1" x14ac:dyDescent="0.15">
      <c r="B169" s="133" t="str">
        <f>B26</f>
        <v>New First Lien Term Loan</v>
      </c>
      <c r="F169" s="74"/>
      <c r="G169" s="135">
        <f ca="1">-MIN(MAX(0,F157+G163),MAX(0,G167*$G$11+G168))</f>
        <v>0</v>
      </c>
      <c r="H169" s="74">
        <f ca="1">-MIN(MAX(0,G157+H163),MAX(0,H167*$G$11+H168))</f>
        <v>0</v>
      </c>
      <c r="I169" s="74">
        <f ca="1">-MIN(MAX(0,H157+I163),MAX(0,I167*$G$11+I168))</f>
        <v>0</v>
      </c>
      <c r="J169" s="74">
        <f ca="1">-MIN(MAX(0,I157+J163),MAX(0,J167*$G$11+J168))</f>
        <v>0</v>
      </c>
      <c r="K169" s="74">
        <f ca="1">-MIN(MAX(0,J157+K163),MAX(0,K167*$G$11+K168))</f>
        <v>0</v>
      </c>
    </row>
    <row r="170" spans="2:11" ht="15" customHeight="1" x14ac:dyDescent="0.2">
      <c r="B170" s="133" t="str">
        <f>B27</f>
        <v>New Senior Unsecured Notes</v>
      </c>
      <c r="C170" s="12" t="s">
        <v>213</v>
      </c>
      <c r="F170" s="155"/>
      <c r="G170" s="156">
        <f>0</f>
        <v>0</v>
      </c>
      <c r="H170" s="157">
        <f>0</f>
        <v>0</v>
      </c>
      <c r="I170" s="157">
        <f>0</f>
        <v>0</v>
      </c>
      <c r="J170" s="157">
        <f>0</f>
        <v>0</v>
      </c>
      <c r="K170" s="157">
        <f>0</f>
        <v>0</v>
      </c>
    </row>
    <row r="171" spans="2:11" ht="15" customHeight="1" x14ac:dyDescent="0.15">
      <c r="B171" s="52" t="s">
        <v>135</v>
      </c>
      <c r="C171" s="68"/>
      <c r="D171" s="68"/>
      <c r="E171" s="68"/>
      <c r="F171" s="68"/>
      <c r="G171" s="136">
        <f ca="1">SUM(G168:G170)</f>
        <v>0</v>
      </c>
      <c r="H171" s="68">
        <f ca="1">SUM(H168:H170)</f>
        <v>0</v>
      </c>
      <c r="I171" s="68">
        <f ca="1">SUM(I168:I170)</f>
        <v>0</v>
      </c>
      <c r="J171" s="68">
        <f ca="1">SUM(J168:J170)</f>
        <v>0</v>
      </c>
      <c r="K171" s="68">
        <f ca="1">SUM(K168:K170)</f>
        <v>0</v>
      </c>
    </row>
    <row r="172" spans="2:11" ht="15" customHeight="1" x14ac:dyDescent="0.15">
      <c r="F172" s="6"/>
      <c r="G172" s="79"/>
      <c r="H172" s="6"/>
      <c r="I172" s="6"/>
      <c r="J172" s="6"/>
      <c r="K172" s="6"/>
    </row>
    <row r="173" spans="2:11" ht="15" customHeight="1" x14ac:dyDescent="0.15">
      <c r="B173" s="143" t="s">
        <v>136</v>
      </c>
      <c r="C173" s="125" t="s">
        <v>137</v>
      </c>
      <c r="D173" s="125" t="s">
        <v>49</v>
      </c>
      <c r="E173" s="8"/>
      <c r="F173" s="8"/>
      <c r="G173" s="79"/>
      <c r="H173" s="8"/>
      <c r="I173" s="8"/>
      <c r="J173" s="8"/>
      <c r="K173" s="8"/>
    </row>
    <row r="174" spans="2:11" ht="15" customHeight="1" x14ac:dyDescent="0.15">
      <c r="B174" s="133" t="str">
        <f>B25</f>
        <v>New Revolving Credit Facility ($300)</v>
      </c>
      <c r="C174" s="150">
        <f>G8</f>
        <v>300</v>
      </c>
      <c r="D174" s="158">
        <f>G25</f>
        <v>350</v>
      </c>
      <c r="F174" s="74"/>
      <c r="G174" s="135">
        <f ca="1">-IF(Circ=1,AVERAGE(F156,G156)*(($D174/10000)+MAX(Floor,AVERAGE(F$69:G$69)))+MAX(0,$C174-AVERAGE(F156,G156))*$G$9,0)</f>
        <v>-3</v>
      </c>
      <c r="H174" s="74">
        <f ca="1">-IF(Circ=1,AVERAGE(G156,H156)*(($D174/10000)+MAX(Floor,AVERAGE(G$69:H$69)))+MAX(0,$C174-AVERAGE(G156,H156))*$G$9,0)</f>
        <v>-3</v>
      </c>
      <c r="I174" s="74">
        <f ca="1">-IF(Circ=1,AVERAGE(H156,I156)*(($D174/10000)+MAX(Floor,AVERAGE(H$69:I$69)))+MAX(0,$C174-AVERAGE(H156,I156))*$G$9,0)</f>
        <v>-3</v>
      </c>
      <c r="J174" s="74">
        <f ca="1">-IF(Circ=1,AVERAGE(I156,J156)*(($D174/10000)+MAX(Floor,AVERAGE(I$69:J$69)))+MAX(0,$C174-AVERAGE(I156,J156))*$G$9,0)</f>
        <v>-3</v>
      </c>
      <c r="K174" s="74">
        <f ca="1">-IF(Circ=1,AVERAGE(J156,K156)*(($D174/10000)+MAX(Floor,AVERAGE(J$69:K$69)))+MAX(0,$C174-AVERAGE(J156,K156))*$G$9,0)</f>
        <v>-3</v>
      </c>
    </row>
    <row r="175" spans="2:11" ht="15" customHeight="1" x14ac:dyDescent="0.15">
      <c r="B175" s="133" t="str">
        <f>B26</f>
        <v>New First Lien Term Loan</v>
      </c>
      <c r="C175" s="152">
        <f>C26</f>
        <v>480</v>
      </c>
      <c r="D175" s="158">
        <f>G26</f>
        <v>375</v>
      </c>
      <c r="F175" s="159"/>
      <c r="G175" s="135">
        <f ca="1">-IF(Circ=1,AVERAGE(F157,G157)*(($D175/10000)+MAX(Floor,AVERAGE(F$69:G$69))),0)</f>
        <v>-36.799080000000004</v>
      </c>
      <c r="H175" s="74">
        <f ca="1">-IF(Circ=1,AVERAGE(G157,H157)*(($D175/10000)+MAX(Floor,AVERAGE(G$69:H$69))),0)</f>
        <v>-36.559260000000002</v>
      </c>
      <c r="I175" s="74">
        <f ca="1">-IF(Circ=1,AVERAGE(H157,I157)*(($D175/10000)+MAX(Floor,AVERAGE(H$69:I$69))),0)</f>
        <v>-36.328499999999998</v>
      </c>
      <c r="J175" s="74">
        <f ca="1">-IF(Circ=1,AVERAGE(I157,J157)*(($D175/10000)+MAX(Floor,AVERAGE(I$69:J$69))),0)</f>
        <v>-36.32645999999999</v>
      </c>
      <c r="K175" s="74">
        <f ca="1">-IF(Circ=1,AVERAGE(J157,K157)*(($D175/10000)+MAX(Floor,AVERAGE(J$69:K$69))),0)</f>
        <v>-36.488639999999997</v>
      </c>
    </row>
    <row r="176" spans="2:11" ht="15" customHeight="1" x14ac:dyDescent="0.15">
      <c r="B176" s="133" t="str">
        <f>B27</f>
        <v>New Senior Unsecured Notes</v>
      </c>
      <c r="C176" s="153">
        <f>C27</f>
        <v>355</v>
      </c>
      <c r="D176" s="154">
        <f>G27</f>
        <v>7.4999999999999997E-2</v>
      </c>
      <c r="F176" s="155"/>
      <c r="G176" s="135">
        <f>-IF(Circ=1,AVERAGE(F158,G158)*$D176,0)</f>
        <v>-26.625</v>
      </c>
      <c r="H176" s="74">
        <f>-IF(Circ=1,AVERAGE(G158,H158)*$D176,0)</f>
        <v>-26.625</v>
      </c>
      <c r="I176" s="74">
        <f>-IF(Circ=1,AVERAGE(H158,I158)*$D176,0)</f>
        <v>-26.625</v>
      </c>
      <c r="J176" s="74">
        <f>-IF(Circ=1,AVERAGE(I158,J158)*$D176,0)</f>
        <v>-26.625</v>
      </c>
      <c r="K176" s="74">
        <f>-IF(Circ=1,AVERAGE(J158,K158)*$D176,0)</f>
        <v>-26.625</v>
      </c>
    </row>
    <row r="177" spans="2:11" ht="15" customHeight="1" x14ac:dyDescent="0.15">
      <c r="B177" s="52" t="s">
        <v>138</v>
      </c>
      <c r="C177" s="68"/>
      <c r="D177" s="68"/>
      <c r="E177" s="68"/>
      <c r="F177" s="68"/>
      <c r="G177" s="136">
        <f ca="1">SUM(G174:G176)</f>
        <v>-66.424080000000004</v>
      </c>
      <c r="H177" s="68">
        <f ca="1">SUM(H174:H176)</f>
        <v>-66.184259999999995</v>
      </c>
      <c r="I177" s="68">
        <f ca="1">SUM(I174:I176)</f>
        <v>-65.953499999999991</v>
      </c>
      <c r="J177" s="68">
        <f ca="1">SUM(J174:J176)</f>
        <v>-65.951459999999997</v>
      </c>
      <c r="K177" s="68">
        <f ca="1">SUM(K174:K176)</f>
        <v>-66.113640000000004</v>
      </c>
    </row>
    <row r="179" spans="2:11" ht="15" customHeight="1" x14ac:dyDescent="0.15">
      <c r="B179" s="160" t="s">
        <v>139</v>
      </c>
      <c r="C179" s="161"/>
      <c r="D179" s="161"/>
      <c r="E179" s="161"/>
      <c r="F179" s="161"/>
      <c r="G179" s="161"/>
      <c r="H179" s="161"/>
      <c r="I179" s="161"/>
      <c r="J179" s="161"/>
      <c r="K179" s="162"/>
    </row>
    <row r="181" spans="2:11" ht="15" customHeight="1" x14ac:dyDescent="0.15">
      <c r="B181" s="143" t="s">
        <v>140</v>
      </c>
      <c r="C181" s="81"/>
      <c r="D181" s="81"/>
      <c r="E181" s="81"/>
      <c r="F181" s="81"/>
      <c r="G181" s="82" t="str">
        <f>G$2&amp;G$3</f>
        <v>2027E</v>
      </c>
      <c r="H181" s="81" t="str">
        <f>H$2&amp;H$3</f>
        <v>2028E</v>
      </c>
      <c r="I181" s="81" t="str">
        <f>I$2&amp;I$3</f>
        <v>2029E</v>
      </c>
      <c r="J181" s="81" t="str">
        <f>J$2&amp;J$3</f>
        <v>2030E</v>
      </c>
      <c r="K181" s="81" t="str">
        <f>K$2&amp;K$3</f>
        <v>2031E</v>
      </c>
    </row>
    <row r="182" spans="2:11" ht="15" customHeight="1" x14ac:dyDescent="0.15">
      <c r="B182" s="133" t="s">
        <v>111</v>
      </c>
      <c r="C182" s="74"/>
      <c r="D182" s="134"/>
      <c r="E182" s="134"/>
      <c r="F182" s="74"/>
      <c r="G182" s="163">
        <f ca="1">+G118</f>
        <v>118.08500000000002</v>
      </c>
      <c r="H182" s="73">
        <f ca="1">+H118</f>
        <v>133.22704999999999</v>
      </c>
      <c r="I182" s="73">
        <f ca="1">+I118</f>
        <v>141.50459949999996</v>
      </c>
      <c r="J182" s="73">
        <f ca="1">+J118</f>
        <v>150.25734367874995</v>
      </c>
      <c r="K182" s="73">
        <f ca="1">+K118</f>
        <v>159.51128801959993</v>
      </c>
    </row>
    <row r="183" spans="2:11" ht="15" customHeight="1" x14ac:dyDescent="0.15">
      <c r="B183" s="133" t="s">
        <v>141</v>
      </c>
      <c r="C183" s="74"/>
      <c r="D183" s="134"/>
      <c r="E183" s="134"/>
      <c r="F183" s="164"/>
      <c r="G183" s="165">
        <f>+$K$9</f>
        <v>10</v>
      </c>
      <c r="H183" s="164">
        <f>+$K$9</f>
        <v>10</v>
      </c>
      <c r="I183" s="164">
        <f>+$K$9</f>
        <v>10</v>
      </c>
      <c r="J183" s="164">
        <f>+$K$9</f>
        <v>10</v>
      </c>
      <c r="K183" s="164">
        <f>+$K$9</f>
        <v>10</v>
      </c>
    </row>
    <row r="184" spans="2:11" ht="15" customHeight="1" x14ac:dyDescent="0.15">
      <c r="B184" s="52" t="s">
        <v>142</v>
      </c>
      <c r="C184" s="68"/>
      <c r="D184" s="68"/>
      <c r="E184" s="68"/>
      <c r="F184" s="68"/>
      <c r="G184" s="136">
        <f ca="1">+G182*G183</f>
        <v>1180.8500000000001</v>
      </c>
      <c r="H184" s="68">
        <f ca="1">+H182*H183</f>
        <v>1332.2704999999999</v>
      </c>
      <c r="I184" s="68">
        <f ca="1">+I182*I183</f>
        <v>1415.0459949999995</v>
      </c>
      <c r="J184" s="68">
        <f ca="1">+J182*J183</f>
        <v>1502.5734367874995</v>
      </c>
      <c r="K184" s="68">
        <f ca="1">+K182*K183</f>
        <v>1595.1128801959994</v>
      </c>
    </row>
    <row r="185" spans="2:11" ht="15" customHeight="1" x14ac:dyDescent="0.15">
      <c r="B185" s="133" t="s">
        <v>143</v>
      </c>
      <c r="F185" s="74"/>
      <c r="G185" s="135">
        <f ca="1">-G159</f>
        <v>-830.2</v>
      </c>
      <c r="H185" s="74">
        <f ca="1">-H159</f>
        <v>-825.4</v>
      </c>
      <c r="I185" s="74">
        <f ca="1">-I159</f>
        <v>-820.59999999999991</v>
      </c>
      <c r="J185" s="74">
        <f ca="1">-J159</f>
        <v>-815.8</v>
      </c>
      <c r="K185" s="74">
        <f ca="1">-K159</f>
        <v>-811</v>
      </c>
    </row>
    <row r="186" spans="2:11" ht="15" customHeight="1" x14ac:dyDescent="0.15">
      <c r="B186" s="133" t="s">
        <v>144</v>
      </c>
      <c r="F186" s="74"/>
      <c r="G186" s="135">
        <f ca="1">G142</f>
        <v>22.88939535714286</v>
      </c>
      <c r="H186" s="74">
        <f ca="1">H142</f>
        <v>48.230218214285713</v>
      </c>
      <c r="I186" s="74">
        <f ca="1">I142</f>
        <v>78.997430571428538</v>
      </c>
      <c r="J186" s="74">
        <f ca="1">J142</f>
        <v>115.33292051950886</v>
      </c>
      <c r="K186" s="74">
        <f ca="1">K142</f>
        <v>157.44452170566103</v>
      </c>
    </row>
    <row r="187" spans="2:11" ht="15" customHeight="1" x14ac:dyDescent="0.15">
      <c r="B187" s="133" t="s">
        <v>145</v>
      </c>
      <c r="F187" s="74"/>
      <c r="G187" s="135">
        <f>+IF(G2=$K$8,-G184*$K$10,0)</f>
        <v>0</v>
      </c>
      <c r="H187" s="74">
        <f>+IF(H2=$K$8,-H184*$K$10,0)</f>
        <v>0</v>
      </c>
      <c r="I187" s="74">
        <f>+IF(I2=$K$8,-I184*$K$10,0)</f>
        <v>0</v>
      </c>
      <c r="J187" s="74">
        <f>+IF(J2=$K$8,-J184*$K$10,0)</f>
        <v>0</v>
      </c>
      <c r="K187" s="74">
        <f ca="1">+IF(K2=$K$8,-K184*$K$10,0)</f>
        <v>-47.853386405879981</v>
      </c>
    </row>
    <row r="188" spans="2:11" ht="15" customHeight="1" x14ac:dyDescent="0.15">
      <c r="B188" s="52" t="s">
        <v>146</v>
      </c>
      <c r="C188" s="68"/>
      <c r="D188" s="68"/>
      <c r="E188" s="68"/>
      <c r="F188" s="68"/>
      <c r="G188" s="136">
        <f ca="1">+SUM(G184:G187)</f>
        <v>373.53939535714295</v>
      </c>
      <c r="H188" s="68">
        <f ca="1">+SUM(H184:H187)</f>
        <v>555.10071821428562</v>
      </c>
      <c r="I188" s="68">
        <f ca="1">+SUM(I184:I187)</f>
        <v>673.44342557142818</v>
      </c>
      <c r="J188" s="68">
        <f ca="1">+SUM(J184:J187)</f>
        <v>802.10635730700847</v>
      </c>
      <c r="K188" s="68">
        <f ca="1">+SUM(K184:K187)</f>
        <v>893.70401549578048</v>
      </c>
    </row>
    <row r="189" spans="2:11" ht="15" customHeight="1" x14ac:dyDescent="0.15">
      <c r="G189" s="79"/>
    </row>
    <row r="190" spans="2:11" ht="15" customHeight="1" x14ac:dyDescent="0.15">
      <c r="B190" s="143" t="s">
        <v>147</v>
      </c>
      <c r="C190" s="81"/>
      <c r="D190" s="81"/>
      <c r="E190" s="81"/>
      <c r="F190" s="166">
        <f t="shared" ref="F190:K190" si="31">DATE(F$2,$K$14,$K$15)</f>
        <v>46387</v>
      </c>
      <c r="G190" s="167">
        <f t="shared" si="31"/>
        <v>46752</v>
      </c>
      <c r="H190" s="166">
        <f t="shared" si="31"/>
        <v>47118</v>
      </c>
      <c r="I190" s="166">
        <f t="shared" si="31"/>
        <v>47483</v>
      </c>
      <c r="J190" s="166">
        <f t="shared" si="31"/>
        <v>47848</v>
      </c>
      <c r="K190" s="166">
        <f t="shared" si="31"/>
        <v>48213</v>
      </c>
    </row>
    <row r="191" spans="2:11" ht="15" customHeight="1" x14ac:dyDescent="0.15">
      <c r="B191" s="133" t="s">
        <v>148</v>
      </c>
      <c r="C191" s="74"/>
      <c r="D191" s="134"/>
      <c r="E191" s="134"/>
      <c r="F191" s="74">
        <f>+C29*-1</f>
        <v>-412.49999999999955</v>
      </c>
      <c r="G191" s="156">
        <v>0</v>
      </c>
      <c r="H191" s="157">
        <v>0</v>
      </c>
      <c r="I191" s="157">
        <v>0</v>
      </c>
      <c r="J191" s="157">
        <v>0</v>
      </c>
      <c r="K191" s="157">
        <v>0</v>
      </c>
    </row>
    <row r="192" spans="2:11" ht="15" customHeight="1" x14ac:dyDescent="0.15">
      <c r="B192" s="133" t="s">
        <v>149</v>
      </c>
      <c r="C192" s="74"/>
      <c r="D192" s="134"/>
      <c r="E192" s="134"/>
      <c r="F192" s="157">
        <v>0</v>
      </c>
      <c r="G192" s="135">
        <f>0</f>
        <v>0</v>
      </c>
      <c r="H192" s="74">
        <f>0</f>
        <v>0</v>
      </c>
      <c r="I192" s="74">
        <f>0</f>
        <v>0</v>
      </c>
      <c r="J192" s="74">
        <f>0</f>
        <v>0</v>
      </c>
      <c r="K192" s="74">
        <f>0</f>
        <v>0</v>
      </c>
    </row>
    <row r="193" spans="1:11" ht="15" customHeight="1" x14ac:dyDescent="0.15">
      <c r="B193" s="133" t="s">
        <v>150</v>
      </c>
      <c r="C193" s="74"/>
      <c r="D193" s="134"/>
      <c r="E193" s="134"/>
      <c r="F193" s="157">
        <v>0</v>
      </c>
      <c r="G193" s="135">
        <f>IF(G2=$K$8,G188,0)</f>
        <v>0</v>
      </c>
      <c r="H193" s="74">
        <f>IF(H2=$K$8,H188,0)</f>
        <v>0</v>
      </c>
      <c r="I193" s="74">
        <f>IF(I2=$K$8,I188,0)</f>
        <v>0</v>
      </c>
      <c r="J193" s="74">
        <f>IF(J2=$K$8,J188,0)</f>
        <v>0</v>
      </c>
      <c r="K193" s="74">
        <f ca="1">IF(K2=$K$8,K188,0)</f>
        <v>893.70401549578048</v>
      </c>
    </row>
    <row r="194" spans="1:11" ht="15" customHeight="1" x14ac:dyDescent="0.15">
      <c r="B194" s="52" t="s">
        <v>151</v>
      </c>
      <c r="C194" s="68"/>
      <c r="D194" s="68"/>
      <c r="E194" s="68"/>
      <c r="F194" s="68">
        <f t="shared" ref="F194:K194" si="32">SUM(F191:F193)</f>
        <v>-412.49999999999955</v>
      </c>
      <c r="G194" s="136">
        <f t="shared" si="32"/>
        <v>0</v>
      </c>
      <c r="H194" s="68">
        <f t="shared" si="32"/>
        <v>0</v>
      </c>
      <c r="I194" s="68">
        <f t="shared" si="32"/>
        <v>0</v>
      </c>
      <c r="J194" s="68">
        <f t="shared" si="32"/>
        <v>0</v>
      </c>
      <c r="K194" s="68">
        <f t="shared" ca="1" si="32"/>
        <v>893.70401549578048</v>
      </c>
    </row>
    <row r="196" spans="1:11" ht="15" customHeight="1" x14ac:dyDescent="0.15">
      <c r="B196" s="168" t="s">
        <v>152</v>
      </c>
      <c r="C196" s="169">
        <f ca="1">IF(-F194&gt;0,SUM(G194:K194)/-F194,"N/A")</f>
        <v>2.1665551890806825</v>
      </c>
    </row>
    <row r="197" spans="1:11" ht="15" customHeight="1" x14ac:dyDescent="0.15">
      <c r="B197" s="170" t="s">
        <v>153</v>
      </c>
      <c r="C197" s="171">
        <f ca="1">IF(AND(F194&lt;0,COUNTIF(G194:K194,"&gt;0")&gt;0,COUNT(F190:K190)=6),IRR(F194:K194),"N/A")</f>
        <v>0.16722330795201823</v>
      </c>
    </row>
    <row r="199" spans="1:11" ht="24" customHeight="1" x14ac:dyDescent="0.15">
      <c r="A199" s="13"/>
      <c r="B199" s="14" t="s">
        <v>154</v>
      </c>
      <c r="C199" s="14"/>
      <c r="D199" s="14"/>
      <c r="E199" s="14"/>
      <c r="F199" s="14"/>
      <c r="G199" s="14"/>
      <c r="H199" s="14"/>
      <c r="I199" s="14"/>
      <c r="J199" s="14"/>
      <c r="K199" s="14"/>
    </row>
    <row r="200" spans="1:11" ht="26" customHeight="1" x14ac:dyDescent="0.15">
      <c r="B200" s="15" t="s">
        <v>65</v>
      </c>
      <c r="C200" s="15" t="s">
        <v>155</v>
      </c>
      <c r="D200" s="15" t="s">
        <v>156</v>
      </c>
      <c r="E200" s="15" t="s">
        <v>157</v>
      </c>
      <c r="F200" s="15" t="s">
        <v>158</v>
      </c>
      <c r="G200" s="15" t="s">
        <v>159</v>
      </c>
      <c r="H200" s="186" t="s">
        <v>160</v>
      </c>
      <c r="I200" s="186"/>
      <c r="J200" s="186"/>
      <c r="K200" s="186"/>
    </row>
    <row r="201" spans="1:11" ht="30" customHeight="1" x14ac:dyDescent="0.15">
      <c r="B201" s="16" t="s">
        <v>161</v>
      </c>
      <c r="C201" s="17">
        <f>C30-C38</f>
        <v>0</v>
      </c>
      <c r="D201" s="17">
        <f>0</f>
        <v>0</v>
      </c>
      <c r="E201" s="17">
        <f t="shared" ref="E201:E216" si="33">C201-D201</f>
        <v>0</v>
      </c>
      <c r="F201" s="17">
        <v>0.01</v>
      </c>
      <c r="G201" s="18" t="str">
        <f t="shared" ref="G201:G216" si="34">IF(ABS(E201)&lt;=F201,"OK","ERROR")</f>
        <v>OK</v>
      </c>
      <c r="H201" s="187" t="s">
        <v>162</v>
      </c>
      <c r="I201" s="187"/>
      <c r="J201" s="187"/>
      <c r="K201" s="187"/>
    </row>
    <row r="202" spans="1:11" ht="30" customHeight="1" x14ac:dyDescent="0.15">
      <c r="B202" s="16" t="s">
        <v>163</v>
      </c>
      <c r="C202" s="17">
        <f ca="1">MAX(ABS(G140+G141-G142),ABS(H140+H141-H142),ABS(I140+I141-I142),ABS(J140+J141-J142),ABS(K140+K141-K142))</f>
        <v>0</v>
      </c>
      <c r="D202" s="17">
        <f>0</f>
        <v>0</v>
      </c>
      <c r="E202" s="17">
        <f t="shared" ca="1" si="33"/>
        <v>0</v>
      </c>
      <c r="F202" s="17">
        <v>0.01</v>
      </c>
      <c r="G202" s="18" t="str">
        <f t="shared" ca="1" si="34"/>
        <v>OK</v>
      </c>
      <c r="H202" s="187" t="s">
        <v>164</v>
      </c>
      <c r="I202" s="187"/>
      <c r="J202" s="187"/>
      <c r="K202" s="187"/>
    </row>
    <row r="203" spans="1:11" ht="30" customHeight="1" x14ac:dyDescent="0.15">
      <c r="B203" s="16" t="s">
        <v>165</v>
      </c>
      <c r="C203" s="17">
        <f ca="1">MAX(ABS(G156-(F156+G166+G162+G168)),ABS(G157-(F157+G163+G169)),ABS(G158-(F158+G164+G170)),ABS(G159-(F159+G166+G165+G171)),ABS(H156-(G156+H166+H162+H168)),ABS(H157-(G157+H163+H169)),ABS(H158-(G158+H164+H170)),ABS(H159-(G159+H166+H165+H171)),ABS(I156-(H156+I166+I162+I168)),ABS(I157-(H157+I163+I169)),ABS(I158-(H158+I164+I170)),ABS(I159-(H159+I166+I165+I171)),ABS(J156-(I156+J166+J162+J168)),ABS(J157-(I157+J163+J169)),ABS(J158-(I158+J164+J170)),ABS(J159-(I159+J166+J165+J171)),ABS(K156-(J156+K166+K162+K168)),ABS(K157-(J157+K163+K169)),ABS(K158-(J158+K164+K170)),ABS(K159-(J159+K166+K165+K171)))</f>
        <v>1.1368683772161603E-13</v>
      </c>
      <c r="D203" s="17">
        <f>0</f>
        <v>0</v>
      </c>
      <c r="E203" s="17">
        <f t="shared" ca="1" si="33"/>
        <v>1.1368683772161603E-13</v>
      </c>
      <c r="F203" s="17">
        <v>0.01</v>
      </c>
      <c r="G203" s="18" t="str">
        <f t="shared" ca="1" si="34"/>
        <v>OK</v>
      </c>
      <c r="H203" s="187" t="s">
        <v>166</v>
      </c>
      <c r="I203" s="187"/>
      <c r="J203" s="187"/>
      <c r="K203" s="187"/>
    </row>
    <row r="204" spans="1:11" ht="40" customHeight="1" x14ac:dyDescent="0.15">
      <c r="B204" s="16" t="s">
        <v>214</v>
      </c>
      <c r="C204" s="17">
        <f ca="1">MAX(ABS(G142-(G140+G135)),ABS(H142-(H140+H135)),ABS(I142-(I140+I135)),ABS(J142-(J140+J135)),ABS(K142-(K140+K135)),ABS(G147-SUM(G145:G146)),ABS(H147-SUM(H145:H146)),ABS(I147-SUM(I145:I146)),ABS(J147-SUM(J145:J146)),ABS(K147-SUM(K145:K146)),ABS(G151-(G150-F150)),ABS(H151-(H150-G150)),ABS(I151-(I150-H150)),ABS(J151-(J150-I150)),ABS(K151-(K150-J150)),ABS(G159-SUM(G156:G158)),ABS(H159-SUM(H156:H158)),ABS(I159-SUM(I156:I158)),ABS(J159-SUM(J156:J158)),ABS(K159-SUM(K156:K158)))</f>
        <v>0</v>
      </c>
      <c r="D204" s="17">
        <f>0</f>
        <v>0</v>
      </c>
      <c r="E204" s="17">
        <f t="shared" ca="1" si="33"/>
        <v>0</v>
      </c>
      <c r="F204" s="17">
        <v>0.01</v>
      </c>
      <c r="G204" s="18" t="str">
        <f t="shared" ca="1" si="34"/>
        <v>OK</v>
      </c>
      <c r="H204" s="187" t="s">
        <v>215</v>
      </c>
      <c r="I204" s="187"/>
      <c r="J204" s="187"/>
      <c r="K204" s="187"/>
    </row>
    <row r="205" spans="1:11" ht="30" customHeight="1" x14ac:dyDescent="0.15">
      <c r="B205" s="16" t="s">
        <v>167</v>
      </c>
      <c r="C205" s="17">
        <f ca="1">MAX(ABS(F194-SUM(F191:F193)),ABS(G194-SUM(G191:G193)),ABS(H194-SUM(H191:H193)),ABS(I194-SUM(I191:I193)),ABS(J194-SUM(J191:J193)),ABS(K194-SUM(K191:K193)))</f>
        <v>0</v>
      </c>
      <c r="D205" s="17">
        <f>0</f>
        <v>0</v>
      </c>
      <c r="E205" s="17">
        <f t="shared" ca="1" si="33"/>
        <v>0</v>
      </c>
      <c r="F205" s="17">
        <v>0.01</v>
      </c>
      <c r="G205" s="18" t="str">
        <f t="shared" ca="1" si="34"/>
        <v>OK</v>
      </c>
      <c r="H205" s="187" t="s">
        <v>168</v>
      </c>
      <c r="I205" s="187"/>
      <c r="J205" s="187"/>
      <c r="K205" s="187"/>
    </row>
    <row r="206" spans="1:11" ht="40" customHeight="1" x14ac:dyDescent="0.15">
      <c r="B206" s="16" t="s">
        <v>169</v>
      </c>
      <c r="C206" s="17">
        <f>IF(AND(C2="",C3="",D2=$K$11-2,E2=D2+1,F2=$K$11,G2=F2+1,H2=G2+1,I2=H2+1,J2=I2+1,K2=J2+1,COUNTIF(D3:F3,"A")=3,COUNTIF(G3:K3,"E")=5,YEAR(F190)=F2,YEAR(G190)=G2,YEAR(H190)=H2,YEAR(I190)=I2,YEAR(J190)=J2,YEAR(K190)=K2,MONTH(F190)=$K$14,MONTH(G190)=$K$14,MONTH(H190)=$K$14,MONTH(I190)=$K$14,MONTH(J190)=$K$14,MONTH(K190)=$K$14,DAY(F190)=$K$15,DAY(G190)=$K$15,DAY(H190)=$K$15,DAY(I190)=$K$15,DAY(J190)=$K$15,DAY(K190)=$K$15,$K$8=K2),0,1)</f>
        <v>0</v>
      </c>
      <c r="D206" s="17">
        <f>0</f>
        <v>0</v>
      </c>
      <c r="E206" s="17">
        <f t="shared" si="33"/>
        <v>0</v>
      </c>
      <c r="F206" s="17">
        <v>0</v>
      </c>
      <c r="G206" s="18" t="str">
        <f t="shared" si="34"/>
        <v>OK</v>
      </c>
      <c r="H206" s="187" t="s">
        <v>216</v>
      </c>
      <c r="I206" s="187"/>
      <c r="J206" s="187"/>
      <c r="K206" s="187"/>
    </row>
    <row r="207" spans="1:11" ht="30" customHeight="1" x14ac:dyDescent="0.15">
      <c r="B207" s="16" t="s">
        <v>170</v>
      </c>
      <c r="C207" s="17">
        <f ca="1">IF(OR(ISERROR(C30),ISERROR(C38),ISERROR(G16),ISERROR(G108),ISERROR(K108),ISERROR(G135),ISERROR(K135),ISERROR(G142),ISERROR(K142),ISERROR(G156),ISERROR(K159),ISERROR(G174),ISERROR(K177),ISERROR(G188),ISERROR(K188),ISERROR(C196),ISERROR(C197)),1,0)</f>
        <v>0</v>
      </c>
      <c r="D207" s="17">
        <f>0</f>
        <v>0</v>
      </c>
      <c r="E207" s="17">
        <f t="shared" ca="1" si="33"/>
        <v>0</v>
      </c>
      <c r="F207" s="17">
        <v>0</v>
      </c>
      <c r="G207" s="18" t="str">
        <f t="shared" ca="1" si="34"/>
        <v>OK</v>
      </c>
      <c r="H207" s="187" t="s">
        <v>171</v>
      </c>
      <c r="I207" s="187"/>
      <c r="J207" s="187"/>
      <c r="K207" s="187"/>
    </row>
    <row r="208" spans="1:11" ht="30" customHeight="1" x14ac:dyDescent="0.15">
      <c r="B208" s="16" t="s">
        <v>172</v>
      </c>
      <c r="C208" s="17">
        <f ca="1">MAX(ABS(G131+G166+G165+G171-G135),ABS(H131+H166+H165+H171-H135),ABS(I131+I166+I165+I171-I135),ABS(J131+J166+J165+J171-J135),ABS(K131+K166+K165+K171-K135))</f>
        <v>0</v>
      </c>
      <c r="D208" s="17">
        <f>0</f>
        <v>0</v>
      </c>
      <c r="E208" s="17">
        <f t="shared" ca="1" si="33"/>
        <v>0</v>
      </c>
      <c r="F208" s="17">
        <v>0.01</v>
      </c>
      <c r="G208" s="18" t="str">
        <f t="shared" ca="1" si="34"/>
        <v>OK</v>
      </c>
      <c r="H208" s="187" t="s">
        <v>217</v>
      </c>
      <c r="I208" s="187"/>
      <c r="J208" s="187"/>
      <c r="K208" s="187"/>
    </row>
    <row r="209" spans="1:11" ht="30" customHeight="1" x14ac:dyDescent="0.15">
      <c r="B209" s="16" t="s">
        <v>173</v>
      </c>
      <c r="C209" s="17">
        <f ca="1">MAX(ABS(G192),ABS(H192),ABS(I192),ABS(J192),ABS(K192),ABS(SUM(G193:K193)-(IF(G2=$K$8,G188,0)+IF(H2=$K$8,H188,0)+IF(I2=$K$8,I188,0)+IF(J2=$K$8,J188,0)+IF(K2=$K$8,K188,0))))</f>
        <v>0</v>
      </c>
      <c r="D209" s="17">
        <f>0</f>
        <v>0</v>
      </c>
      <c r="E209" s="17">
        <f t="shared" ca="1" si="33"/>
        <v>0</v>
      </c>
      <c r="F209" s="17">
        <v>0.01</v>
      </c>
      <c r="G209" s="18" t="str">
        <f t="shared" ca="1" si="34"/>
        <v>OK</v>
      </c>
      <c r="H209" s="187" t="s">
        <v>174</v>
      </c>
      <c r="I209" s="187"/>
      <c r="J209" s="187"/>
      <c r="K209" s="187"/>
    </row>
    <row r="210" spans="1:11" ht="30" customHeight="1" x14ac:dyDescent="0.15">
      <c r="B210" s="16" t="s">
        <v>175</v>
      </c>
      <c r="C210" s="17">
        <f ca="1">SUM(IF(G106&lt;=0,ABS(G108),ABS(G108+G106*$G$16)),IF(H106&lt;=0,ABS(H108),ABS(H108+H106*$G$16)),IF(I106&lt;=0,ABS(I108),ABS(I108+I106*$G$16)),IF(J106&lt;=0,ABS(J108),ABS(J108+J106*$G$16)),IF(K106&lt;=0,ABS(K108),ABS(K108+K106*$G$16)))</f>
        <v>0</v>
      </c>
      <c r="D210" s="17">
        <f>0</f>
        <v>0</v>
      </c>
      <c r="E210" s="17">
        <f t="shared" ca="1" si="33"/>
        <v>0</v>
      </c>
      <c r="F210" s="17">
        <v>0.01</v>
      </c>
      <c r="G210" s="18" t="str">
        <f t="shared" ca="1" si="34"/>
        <v>OK</v>
      </c>
      <c r="H210" s="187" t="s">
        <v>176</v>
      </c>
      <c r="I210" s="187"/>
      <c r="J210" s="187"/>
      <c r="K210" s="187"/>
    </row>
    <row r="211" spans="1:11" ht="40" customHeight="1" x14ac:dyDescent="0.15">
      <c r="B211" s="16" t="s">
        <v>177</v>
      </c>
      <c r="C211" s="17">
        <f ca="1">MAX(ABS(-G171-MIN(G167*$G$11,MAX(0,F156+G162+G166)+MAX(0,F157+G163))),ABS(-H171-MIN(H167*$G$11,MAX(0,G156+H162+H166)+MAX(0,G157+H163))),ABS(-I171-MIN(I167*$G$11,MAX(0,H156+I162+I166)+MAX(0,H157+I163))),ABS(-J171-MIN(J167*$G$11,MAX(0,I156+J162+J166)+MAX(0,I157+J163))),ABS(-K171-MIN(K167*$G$11,MAX(0,J156+K162+K166)+MAX(0,J157+K163))),MIN(G166,-G171),MIN(H166,-H171),MIN(I166,-I171),MIN(J166,-J171),MIN(K166,-K171))</f>
        <v>0</v>
      </c>
      <c r="D211" s="17">
        <f>0</f>
        <v>0</v>
      </c>
      <c r="E211" s="17">
        <f t="shared" ca="1" si="33"/>
        <v>0</v>
      </c>
      <c r="F211" s="17">
        <v>0.01</v>
      </c>
      <c r="G211" s="18" t="str">
        <f t="shared" ca="1" si="34"/>
        <v>OK</v>
      </c>
      <c r="H211" s="187" t="s">
        <v>178</v>
      </c>
      <c r="I211" s="187"/>
      <c r="J211" s="187"/>
      <c r="K211" s="187"/>
    </row>
    <row r="212" spans="1:11" ht="30" customHeight="1" x14ac:dyDescent="0.15">
      <c r="B212" s="16" t="s">
        <v>179</v>
      </c>
      <c r="C212" s="17">
        <f ca="1">MAX(0,$G$17-MIN(G142:K142))</f>
        <v>0</v>
      </c>
      <c r="D212" s="17">
        <f>0</f>
        <v>0</v>
      </c>
      <c r="E212" s="17">
        <f t="shared" ca="1" si="33"/>
        <v>0</v>
      </c>
      <c r="F212" s="17">
        <v>0.01</v>
      </c>
      <c r="G212" s="18" t="str">
        <f t="shared" ca="1" si="34"/>
        <v>OK</v>
      </c>
      <c r="H212" s="187" t="s">
        <v>180</v>
      </c>
      <c r="I212" s="187"/>
      <c r="J212" s="187"/>
      <c r="K212" s="187"/>
    </row>
    <row r="213" spans="1:11" ht="30" customHeight="1" x14ac:dyDescent="0.15">
      <c r="B213" s="16" t="s">
        <v>15</v>
      </c>
      <c r="C213" s="17">
        <f ca="1">MAX(0,MAX(G156:K156)-$G$8)</f>
        <v>0</v>
      </c>
      <c r="D213" s="17">
        <f>0</f>
        <v>0</v>
      </c>
      <c r="E213" s="17">
        <f t="shared" ca="1" si="33"/>
        <v>0</v>
      </c>
      <c r="F213" s="17">
        <v>0.01</v>
      </c>
      <c r="G213" s="18" t="str">
        <f t="shared" ca="1" si="34"/>
        <v>OK</v>
      </c>
      <c r="H213" s="187" t="s">
        <v>181</v>
      </c>
      <c r="I213" s="187"/>
      <c r="J213" s="187"/>
      <c r="K213" s="187"/>
    </row>
    <row r="214" spans="1:11" ht="30" customHeight="1" x14ac:dyDescent="0.15">
      <c r="B214" s="16" t="s">
        <v>182</v>
      </c>
      <c r="C214" s="17">
        <f ca="1">MAX(0,-MIN(G156:K158))</f>
        <v>0</v>
      </c>
      <c r="D214" s="17">
        <f>0</f>
        <v>0</v>
      </c>
      <c r="E214" s="17">
        <f t="shared" ca="1" si="33"/>
        <v>0</v>
      </c>
      <c r="F214" s="17">
        <v>0.01</v>
      </c>
      <c r="G214" s="18" t="str">
        <f t="shared" ca="1" si="34"/>
        <v>OK</v>
      </c>
      <c r="H214" s="187" t="s">
        <v>183</v>
      </c>
      <c r="I214" s="187"/>
      <c r="J214" s="187"/>
      <c r="K214" s="187"/>
    </row>
    <row r="215" spans="1:11" ht="40" customHeight="1" x14ac:dyDescent="0.15">
      <c r="B215" s="16" t="s">
        <v>184</v>
      </c>
      <c r="C215" s="17">
        <f>IF(AND($G$11&gt;=0,$G$11&lt;=1,$G$16&gt;=0,$G$16&lt;=1,$K$11&gt;=1900,$K$11&lt;=2100,MOD($K$11,1)=0,$K$14&gt;=1,$K$14&lt;=12,MOD($K$14,1)=0,$K$15&gt;=1,$K$15&lt;=31,MOD($K$15,1)=0,$K$13=1),0,1)</f>
        <v>0</v>
      </c>
      <c r="D215" s="17">
        <f>0</f>
        <v>0</v>
      </c>
      <c r="E215" s="17">
        <f t="shared" si="33"/>
        <v>0</v>
      </c>
      <c r="F215" s="17">
        <v>0</v>
      </c>
      <c r="G215" s="18" t="str">
        <f t="shared" si="34"/>
        <v>OK</v>
      </c>
      <c r="H215" s="187" t="s">
        <v>185</v>
      </c>
      <c r="I215" s="187"/>
      <c r="J215" s="187"/>
      <c r="K215" s="187"/>
    </row>
    <row r="216" spans="1:11" ht="40" customHeight="1" x14ac:dyDescent="0.15">
      <c r="B216" s="16" t="s">
        <v>186</v>
      </c>
      <c r="C216" s="17">
        <f ca="1">MAX(ABS(G177+AVERAGE(F156,G156)*(($G$25/10000)+MAX($G$10,AVERAGE(F$69:G$69)))+MAX(0,$G$8-AVERAGE(F156,G156))*$G$9+AVERAGE(F157,G157)*(($G$26/10000)+MAX($G$10,AVERAGE(F$69:G$69)))+AVERAGE(F158,G158)*$G$27),ABS(H177+AVERAGE(G156,H156)*(($G$25/10000)+MAX($G$10,AVERAGE(G$69:H$69)))+MAX(0,$G$8-AVERAGE(G156,H156))*$G$9+AVERAGE(G157,H157)*(($G$26/10000)+MAX($G$10,AVERAGE(G$69:H$69)))+AVERAGE(G158,H158)*$G$27),ABS(I177+AVERAGE(H156,I156)*(($G$25/10000)+MAX($G$10,AVERAGE(H$69:I$69)))+MAX(0,$G$8-AVERAGE(H156,I156))*$G$9+AVERAGE(H157,I157)*(($G$26/10000)+MAX($G$10,AVERAGE(H$69:I$69)))+AVERAGE(H158,I158)*$G$27),ABS(J177+AVERAGE(I156,J156)*(($G$25/10000)+MAX($G$10,AVERAGE(I$69:J$69)))+MAX(0,$G$8-AVERAGE(I156,J156))*$G$9+AVERAGE(I157,J157)*(($G$26/10000)+MAX($G$10,AVERAGE(I$69:J$69)))+AVERAGE(I158,J158)*$G$27),ABS(K177+AVERAGE(J156,K156)*(($G$25/10000)+MAX($G$10,AVERAGE(J$69:K$69)))+MAX(0,$G$8-AVERAGE(J156,K156))*$G$9+AVERAGE(J157,K157)*(($G$26/10000)+MAX($G$10,AVERAGE(J$69:K$69)))+AVERAGE(J158,K158)*$G$27))</f>
        <v>7.1054273576010019E-15</v>
      </c>
      <c r="D216" s="17">
        <f>0</f>
        <v>0</v>
      </c>
      <c r="E216" s="17">
        <f t="shared" ca="1" si="33"/>
        <v>7.1054273576010019E-15</v>
      </c>
      <c r="F216" s="17">
        <v>9.9999999999999995E-7</v>
      </c>
      <c r="G216" s="18" t="str">
        <f t="shared" ca="1" si="34"/>
        <v>OK</v>
      </c>
      <c r="H216" s="187" t="s">
        <v>187</v>
      </c>
      <c r="I216" s="187"/>
      <c r="J216" s="187"/>
      <c r="K216" s="187"/>
    </row>
    <row r="217" spans="1:11" ht="30" customHeight="1" x14ac:dyDescent="0.15">
      <c r="B217" s="19" t="s">
        <v>188</v>
      </c>
      <c r="C217" s="20"/>
      <c r="D217" s="20"/>
      <c r="E217" s="20"/>
      <c r="F217" s="20"/>
      <c r="G217" s="21" t="str">
        <f ca="1">IF(COUNTIF(G201:G216,"OK")+COUNTIF(G220:G226,"OK")=23,"PASS","ERROR")</f>
        <v>PASS</v>
      </c>
      <c r="H217" s="188" t="s">
        <v>189</v>
      </c>
      <c r="I217" s="188"/>
      <c r="J217" s="188"/>
      <c r="K217" s="188"/>
    </row>
    <row r="218" spans="1:11" ht="78" customHeight="1" x14ac:dyDescent="0.15">
      <c r="B218" s="22" t="s">
        <v>190</v>
      </c>
      <c r="C218" s="23"/>
      <c r="D218" s="23"/>
      <c r="E218" s="23"/>
      <c r="F218" s="23"/>
      <c r="G218" s="18" t="str">
        <f>"NEEDS INPUT"</f>
        <v>NEEDS INPUT</v>
      </c>
      <c r="H218" s="189" t="s">
        <v>219</v>
      </c>
      <c r="I218" s="189"/>
      <c r="J218" s="189"/>
      <c r="K218" s="189"/>
    </row>
    <row r="219" spans="1:11" ht="24" customHeight="1" x14ac:dyDescent="0.15">
      <c r="A219" s="13"/>
      <c r="B219" s="14" t="s">
        <v>191</v>
      </c>
      <c r="C219" s="24"/>
      <c r="D219" s="24"/>
      <c r="E219" s="24"/>
      <c r="F219" s="24"/>
      <c r="G219" s="25"/>
      <c r="H219" s="26"/>
      <c r="I219" s="26"/>
      <c r="J219" s="26"/>
      <c r="K219" s="26"/>
    </row>
    <row r="220" spans="1:11" ht="34" customHeight="1" x14ac:dyDescent="0.15">
      <c r="B220" s="16" t="s">
        <v>192</v>
      </c>
      <c r="C220" s="17">
        <f>IF(-10&gt;0,-(-10)*$G$16,0)</f>
        <v>0</v>
      </c>
      <c r="D220" s="17">
        <f>0</f>
        <v>0</v>
      </c>
      <c r="E220" s="17">
        <f t="shared" ref="E220:E226" si="35">C220-D220</f>
        <v>0</v>
      </c>
      <c r="F220" s="17">
        <v>0.01</v>
      </c>
      <c r="G220" s="18" t="str">
        <f t="shared" ref="G220:G226" si="36">IF(ABS(E220)&lt;=F220,"OK","ERROR")</f>
        <v>OK</v>
      </c>
      <c r="H220" s="187" t="s">
        <v>193</v>
      </c>
      <c r="I220" s="187"/>
      <c r="J220" s="187"/>
      <c r="K220" s="187"/>
    </row>
    <row r="221" spans="1:11" ht="34" customHeight="1" x14ac:dyDescent="0.15">
      <c r="B221" s="16" t="s">
        <v>194</v>
      </c>
      <c r="C221" s="17">
        <f>IF(10&gt;0,-10*$G$16,0)</f>
        <v>-2.5</v>
      </c>
      <c r="D221" s="17">
        <f>-10*$G$16</f>
        <v>-2.5</v>
      </c>
      <c r="E221" s="17">
        <f t="shared" si="35"/>
        <v>0</v>
      </c>
      <c r="F221" s="17">
        <v>0.01</v>
      </c>
      <c r="G221" s="18" t="str">
        <f t="shared" si="36"/>
        <v>OK</v>
      </c>
      <c r="H221" s="187" t="s">
        <v>195</v>
      </c>
      <c r="I221" s="187"/>
      <c r="J221" s="187"/>
      <c r="K221" s="187"/>
    </row>
    <row r="222" spans="1:11" ht="34" customHeight="1" x14ac:dyDescent="0.15">
      <c r="B222" s="16" t="s">
        <v>196</v>
      </c>
      <c r="C222" s="17">
        <f>MIN(20,40*50%)+MIN(480,MAX(0,40*50%-MIN(20,40*50%)))</f>
        <v>20</v>
      </c>
      <c r="D222" s="17">
        <f>20</f>
        <v>20</v>
      </c>
      <c r="E222" s="17">
        <f t="shared" si="35"/>
        <v>0</v>
      </c>
      <c r="F222" s="17">
        <v>0.01</v>
      </c>
      <c r="G222" s="18" t="str">
        <f t="shared" si="36"/>
        <v>OK</v>
      </c>
      <c r="H222" s="187" t="s">
        <v>197</v>
      </c>
      <c r="I222" s="187"/>
      <c r="J222" s="187"/>
      <c r="K222" s="187"/>
    </row>
    <row r="223" spans="1:11" ht="34" customHeight="1" x14ac:dyDescent="0.15">
      <c r="B223" s="16" t="s">
        <v>198</v>
      </c>
      <c r="C223" s="17">
        <f>MAX(0,5-MIN(5,4.8))</f>
        <v>0.20000000000000018</v>
      </c>
      <c r="D223" s="17">
        <f>0.2</f>
        <v>0.2</v>
      </c>
      <c r="E223" s="17">
        <f t="shared" si="35"/>
        <v>0</v>
      </c>
      <c r="F223" s="17">
        <v>0.01</v>
      </c>
      <c r="G223" s="18" t="str">
        <f t="shared" si="36"/>
        <v>OK</v>
      </c>
      <c r="H223" s="187" t="s">
        <v>199</v>
      </c>
      <c r="I223" s="187"/>
      <c r="J223" s="187"/>
      <c r="K223" s="187"/>
    </row>
    <row r="224" spans="1:11" ht="40" customHeight="1" x14ac:dyDescent="0.15">
      <c r="B224" s="16" t="s">
        <v>200</v>
      </c>
      <c r="C224" s="17">
        <f>MIN(MAX(0,10-(10-25)),300)</f>
        <v>25</v>
      </c>
      <c r="D224" s="17">
        <f>25</f>
        <v>25</v>
      </c>
      <c r="E224" s="17">
        <f t="shared" si="35"/>
        <v>0</v>
      </c>
      <c r="F224" s="17">
        <v>0.01</v>
      </c>
      <c r="G224" s="18" t="str">
        <f t="shared" si="36"/>
        <v>OK</v>
      </c>
      <c r="H224" s="187" t="s">
        <v>201</v>
      </c>
      <c r="I224" s="187"/>
      <c r="J224" s="187"/>
      <c r="K224" s="187"/>
    </row>
    <row r="225" spans="2:11" ht="34" customHeight="1" x14ac:dyDescent="0.15">
      <c r="B225" s="16" t="s">
        <v>202</v>
      </c>
      <c r="C225" s="17">
        <f ca="1">MAX(ABS(SUM(G192:K192)),ABS(SUM(G193:K193)-(IF(G2=$K$8,G188,0)+IF(H2=$K$8,H188,0)+IF(I2=$K$8,I188,0)+IF(J2=$K$8,J188,0)+IF(K2=$K$8,K188,0))))</f>
        <v>0</v>
      </c>
      <c r="D225" s="17">
        <f>0</f>
        <v>0</v>
      </c>
      <c r="E225" s="17">
        <f t="shared" ca="1" si="35"/>
        <v>0</v>
      </c>
      <c r="F225" s="17">
        <v>0.01</v>
      </c>
      <c r="G225" s="18" t="str">
        <f t="shared" ca="1" si="36"/>
        <v>OK</v>
      </c>
      <c r="H225" s="187" t="s">
        <v>203</v>
      </c>
      <c r="I225" s="187"/>
      <c r="J225" s="187"/>
      <c r="K225" s="187"/>
    </row>
    <row r="226" spans="2:11" ht="40" customHeight="1" x14ac:dyDescent="0.15">
      <c r="B226" s="16" t="s">
        <v>204</v>
      </c>
      <c r="C226" s="17">
        <f ca="1">IF(AND(G190&gt;F190,H190&gt;G190,I190&gt;H190,J190&gt;I190,K190&gt;J190,F194&lt;0,COUNTIF(G194:K194,"&gt;0")=1),0,1)</f>
        <v>0</v>
      </c>
      <c r="D226" s="17">
        <f>0</f>
        <v>0</v>
      </c>
      <c r="E226" s="17">
        <f t="shared" ca="1" si="35"/>
        <v>0</v>
      </c>
      <c r="F226" s="17">
        <v>0</v>
      </c>
      <c r="G226" s="18" t="str">
        <f t="shared" ca="1" si="36"/>
        <v>OK</v>
      </c>
      <c r="H226" s="187" t="s">
        <v>205</v>
      </c>
      <c r="I226" s="187"/>
      <c r="J226" s="187"/>
      <c r="K226" s="187"/>
    </row>
  </sheetData>
  <mergeCells count="33">
    <mergeCell ref="H224:K224"/>
    <mergeCell ref="H225:K225"/>
    <mergeCell ref="H226:K226"/>
    <mergeCell ref="H218:K218"/>
    <mergeCell ref="H220:K220"/>
    <mergeCell ref="H221:K221"/>
    <mergeCell ref="H222:K222"/>
    <mergeCell ref="H223:K223"/>
    <mergeCell ref="H213:K213"/>
    <mergeCell ref="H214:K214"/>
    <mergeCell ref="H215:K215"/>
    <mergeCell ref="H216:K216"/>
    <mergeCell ref="H217:K217"/>
    <mergeCell ref="H208:K208"/>
    <mergeCell ref="H209:K209"/>
    <mergeCell ref="H210:K210"/>
    <mergeCell ref="H211:K211"/>
    <mergeCell ref="H212:K212"/>
    <mergeCell ref="H203:K203"/>
    <mergeCell ref="H204:K204"/>
    <mergeCell ref="H205:K205"/>
    <mergeCell ref="H206:K206"/>
    <mergeCell ref="H207:K207"/>
    <mergeCell ref="I14:J14"/>
    <mergeCell ref="I15:J15"/>
    <mergeCell ref="H200:K200"/>
    <mergeCell ref="H201:K201"/>
    <mergeCell ref="H202:K202"/>
    <mergeCell ref="A1:F1"/>
    <mergeCell ref="G1:H1"/>
    <mergeCell ref="I1:K1"/>
    <mergeCell ref="A2:B2"/>
    <mergeCell ref="I11:J11"/>
  </mergeCells>
  <conditionalFormatting sqref="G201:G211">
    <cfRule type="containsText" dxfId="19" priority="8" operator="containsText" text="OK">
      <formula>NOT(ISERROR(SEARCH("OK",G201)))</formula>
    </cfRule>
    <cfRule type="containsText" dxfId="18" priority="9" operator="containsText" text="PASS">
      <formula>NOT(ISERROR(SEARCH("PASS",G201)))</formula>
    </cfRule>
    <cfRule type="containsText" dxfId="17" priority="10" operator="containsText" text="ERROR">
      <formula>NOT(ISERROR(SEARCH("ERROR",G201)))</formula>
    </cfRule>
  </conditionalFormatting>
  <conditionalFormatting sqref="G201:G217">
    <cfRule type="containsText" dxfId="16" priority="15" operator="containsText" text="OK">
      <formula>NOT(ISERROR(SEARCH("OK",G201)))</formula>
    </cfRule>
    <cfRule type="containsText" dxfId="15" priority="16" operator="containsText" text="PASS">
      <formula>NOT(ISERROR(SEARCH("PASS",G201)))</formula>
    </cfRule>
    <cfRule type="containsText" dxfId="14" priority="17" operator="containsText" text="ERROR">
      <formula>NOT(ISERROR(SEARCH("ERROR",G201)))</formula>
    </cfRule>
  </conditionalFormatting>
  <conditionalFormatting sqref="G212">
    <cfRule type="containsText" dxfId="13" priority="14" operator="containsText" text="NEEDS INPUT">
      <formula>NOT(ISERROR(SEARCH("NEEDS INPUT",G212)))</formula>
    </cfRule>
  </conditionalFormatting>
  <conditionalFormatting sqref="G214:G217">
    <cfRule type="containsText" dxfId="12" priority="11" operator="containsText" text="OK">
      <formula>NOT(ISERROR(SEARCH("OK",G214)))</formula>
    </cfRule>
    <cfRule type="containsText" dxfId="11" priority="12" operator="containsText" text="PASS">
      <formula>NOT(ISERROR(SEARCH("PASS",G214)))</formula>
    </cfRule>
    <cfRule type="containsText" dxfId="10" priority="13" operator="containsText" text="ERROR">
      <formula>NOT(ISERROR(SEARCH("ERROR",G214)))</formula>
    </cfRule>
  </conditionalFormatting>
  <conditionalFormatting sqref="G218">
    <cfRule type="containsText" dxfId="9" priority="21" operator="containsText" text="NEEDS INPUT">
      <formula>NOT(ISERROR(SEARCH("NEEDS INPUT",G218)))</formula>
    </cfRule>
  </conditionalFormatting>
  <conditionalFormatting sqref="G220:G226">
    <cfRule type="containsText" dxfId="8" priority="18" operator="containsText" text="OK">
      <formula>NOT(ISERROR(SEARCH("OK",G220)))</formula>
    </cfRule>
    <cfRule type="containsText" dxfId="7" priority="19" operator="containsText" text="PASS">
      <formula>NOT(ISERROR(SEARCH("PASS",G220)))</formula>
    </cfRule>
    <cfRule type="containsText" dxfId="6" priority="20" operator="containsText" text="ERROR">
      <formula>NOT(ISERROR(SEARCH("ERROR",G220)))</formula>
    </cfRule>
  </conditionalFormatting>
  <conditionalFormatting sqref="I1:K1">
    <cfRule type="containsText" dxfId="5" priority="2" operator="containsText" text="OK">
      <formula>NOT(ISERROR(SEARCH("OK",I1)))</formula>
    </cfRule>
    <cfRule type="containsText" dxfId="4" priority="3" operator="containsText" text="PASS">
      <formula>NOT(ISERROR(SEARCH("PASS",I1)))</formula>
    </cfRule>
    <cfRule type="containsText" dxfId="3" priority="4" operator="containsText" text="ERROR">
      <formula>NOT(ISERROR(SEARCH("ERROR",I1)))</formula>
    </cfRule>
    <cfRule type="containsText" dxfId="2" priority="5" operator="containsText" text="OK">
      <formula>NOT(ISERROR(SEARCH("OK",I1)))</formula>
    </cfRule>
    <cfRule type="containsText" dxfId="1" priority="6" operator="containsText" text="PASS">
      <formula>NOT(ISERROR(SEARCH("PASS",I1)))</formula>
    </cfRule>
    <cfRule type="containsText" dxfId="0" priority="7" operator="containsText" text="ERROR">
      <formula>NOT(ISERROR(SEARCH("ERROR",I1)))</formula>
    </cfRule>
  </conditionalFormatting>
  <pageMargins left="0.25" right="0.25" top="0.45" bottom="0.45" header="0.2" footer="0.2"/>
  <pageSetup fitToHeight="0" orientation="landscape"/>
  <headerFooter differentOddEven="1">
    <oddFooter>&amp;LRevised Fall 2026 LBO Model&amp;CPage &amp;P of &amp;N&amp;RSample model</oddFooter>
    <evenFooter>&amp;LRevised Fall 2026 LBO Model&amp;CPage &amp;P of &amp;N&amp;RSample model</evenFooter>
  </headerFooter>
  <rowBreaks count="7" manualBreakCount="7">
    <brk id="21" max="16383" man="1"/>
    <brk id="39" max="16383" man="1"/>
    <brk id="85" max="16383" man="1"/>
    <brk id="120" max="16383" man="1"/>
    <brk id="152" max="16383" man="1"/>
    <brk id="198" max="16383" man="1"/>
    <brk id="218" max="16383" man="1"/>
  </rowBreaks>
  <ignoredErrors>
    <ignoredError sqref="C34 G174:K175" formulaRange="1"/>
  </ignoredError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Read Me First</vt:lpstr>
      <vt:lpstr>LBO Model</vt:lpstr>
      <vt:lpstr>Circ</vt:lpstr>
      <vt:lpstr>Floor</vt:lpstr>
      <vt:lpstr>OpPay</vt:lpstr>
      <vt:lpstr>'LBO Model'!Print_Area</vt:lpstr>
      <vt:lpstr>'Read Me First'!Print_Area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Ghaddar, Sami</cp:lastModifiedBy>
  <cp:revision>0</cp:revision>
  <dcterms:created xsi:type="dcterms:W3CDTF">2026-09-14T19:00:56Z</dcterms:created>
  <dcterms:modified xsi:type="dcterms:W3CDTF">2026-09-18T14:29:38Z</dcterms:modified>
  <dc:language>en-US</dc:language>
</cp:coreProperties>
</file>